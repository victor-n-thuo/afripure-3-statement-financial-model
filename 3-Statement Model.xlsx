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akii\OneDrive\Desktop\DATA ANALYTICS PROJECTS\WallStreet Prep Full Three Statement Model\"/>
    </mc:Choice>
  </mc:AlternateContent>
  <xr:revisionPtr revIDLastSave="0" documentId="13_ncr:1_{B5238EDA-8BC0-45B1-BAC8-558D031809D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" l="1"/>
  <c r="G15" i="1"/>
  <c r="G80" i="1"/>
  <c r="G82" i="1" s="1"/>
  <c r="G65" i="1" s="1"/>
  <c r="G75" i="1"/>
  <c r="G77" i="1" s="1"/>
  <c r="H75" i="1" s="1"/>
  <c r="H114" i="1"/>
  <c r="I114" i="1"/>
  <c r="J114" i="1"/>
  <c r="K114" i="1"/>
  <c r="G114" i="1"/>
  <c r="H112" i="1"/>
  <c r="I112" i="1"/>
  <c r="J112" i="1"/>
  <c r="K112" i="1"/>
  <c r="G112" i="1"/>
  <c r="H111" i="1"/>
  <c r="I111" i="1"/>
  <c r="J111" i="1"/>
  <c r="K111" i="1"/>
  <c r="G111" i="1"/>
  <c r="G85" i="1"/>
  <c r="G66" i="1"/>
  <c r="H66" i="1" s="1"/>
  <c r="H113" i="1" s="1"/>
  <c r="E68" i="1"/>
  <c r="F68" i="1"/>
  <c r="D68" i="1"/>
  <c r="G61" i="1"/>
  <c r="G110" i="1" s="1"/>
  <c r="G60" i="1"/>
  <c r="H60" i="1" s="1"/>
  <c r="I60" i="1" s="1"/>
  <c r="J60" i="1" s="1"/>
  <c r="K60" i="1" s="1"/>
  <c r="K108" i="1" s="1"/>
  <c r="E57" i="1"/>
  <c r="E62" i="1" s="1"/>
  <c r="F57" i="1"/>
  <c r="F62" i="1" s="1"/>
  <c r="D57" i="1"/>
  <c r="D62" i="1" s="1"/>
  <c r="F29" i="1"/>
  <c r="D29" i="1"/>
  <c r="E29" i="1"/>
  <c r="F50" i="1"/>
  <c r="E50" i="1"/>
  <c r="D50" i="1"/>
  <c r="F46" i="1"/>
  <c r="E46" i="1"/>
  <c r="D46" i="1"/>
  <c r="D13" i="1"/>
  <c r="D17" i="1" s="1"/>
  <c r="E26" i="1"/>
  <c r="F26" i="1"/>
  <c r="D26" i="1"/>
  <c r="E25" i="1"/>
  <c r="F25" i="1"/>
  <c r="D25" i="1"/>
  <c r="E24" i="1"/>
  <c r="F24" i="1"/>
  <c r="G24" i="1" s="1"/>
  <c r="E13" i="1"/>
  <c r="E17" i="1" s="1"/>
  <c r="F13" i="1"/>
  <c r="F17" i="1" s="1"/>
  <c r="F27" i="1" s="1"/>
  <c r="G7" i="1"/>
  <c r="H7" i="1" s="1"/>
  <c r="I7" i="1" s="1"/>
  <c r="J7" i="1" s="1"/>
  <c r="K7" i="1" s="1"/>
  <c r="E7" i="1"/>
  <c r="D7" i="1" s="1"/>
  <c r="J108" i="1" l="1"/>
  <c r="G25" i="1"/>
  <c r="H25" i="1" s="1"/>
  <c r="F70" i="1"/>
  <c r="I108" i="1"/>
  <c r="G108" i="1"/>
  <c r="H108" i="1"/>
  <c r="G113" i="1"/>
  <c r="H80" i="1"/>
  <c r="H82" i="1" s="1"/>
  <c r="G64" i="1"/>
  <c r="H77" i="1"/>
  <c r="I75" i="1" s="1"/>
  <c r="D70" i="1"/>
  <c r="I66" i="1"/>
  <c r="I113" i="1" s="1"/>
  <c r="H61" i="1"/>
  <c r="H110" i="1" s="1"/>
  <c r="E70" i="1"/>
  <c r="E52" i="1"/>
  <c r="D52" i="1"/>
  <c r="G26" i="1"/>
  <c r="H26" i="1" s="1"/>
  <c r="I26" i="1" s="1"/>
  <c r="J26" i="1" s="1"/>
  <c r="K26" i="1" s="1"/>
  <c r="D27" i="1"/>
  <c r="D20" i="1"/>
  <c r="F20" i="1"/>
  <c r="F52" i="1"/>
  <c r="E27" i="1"/>
  <c r="E20" i="1"/>
  <c r="I80" i="1" l="1"/>
  <c r="I82" i="1" s="1"/>
  <c r="H65" i="1"/>
  <c r="I77" i="1"/>
  <c r="J75" i="1" s="1"/>
  <c r="H64" i="1"/>
  <c r="F71" i="1"/>
  <c r="D71" i="1"/>
  <c r="E71" i="1"/>
  <c r="G10" i="1"/>
  <c r="G12" i="1" s="1"/>
  <c r="G34" i="1"/>
  <c r="G31" i="1"/>
  <c r="G56" i="1"/>
  <c r="G101" i="1" s="1"/>
  <c r="G35" i="1"/>
  <c r="G105" i="1" s="1"/>
  <c r="G55" i="1"/>
  <c r="G100" i="1" s="1"/>
  <c r="G32" i="1"/>
  <c r="G104" i="1" s="1"/>
  <c r="I61" i="1"/>
  <c r="J66" i="1"/>
  <c r="J113" i="1" s="1"/>
  <c r="G43" i="1"/>
  <c r="H24" i="1"/>
  <c r="I24" i="1" s="1"/>
  <c r="J24" i="1" s="1"/>
  <c r="K24" i="1" s="1"/>
  <c r="G45" i="1"/>
  <c r="G27" i="1"/>
  <c r="H27" i="1" s="1"/>
  <c r="I27" i="1" s="1"/>
  <c r="I25" i="1"/>
  <c r="G95" i="1" l="1"/>
  <c r="G106" i="1"/>
  <c r="J80" i="1"/>
  <c r="J82" i="1" s="1"/>
  <c r="K80" i="1" s="1"/>
  <c r="K82" i="1" s="1"/>
  <c r="K65" i="1" s="1"/>
  <c r="I65" i="1"/>
  <c r="J61" i="1"/>
  <c r="I110" i="1"/>
  <c r="G96" i="1"/>
  <c r="G98" i="1"/>
  <c r="J77" i="1"/>
  <c r="K75" i="1" s="1"/>
  <c r="I64" i="1"/>
  <c r="H56" i="1"/>
  <c r="H35" i="1"/>
  <c r="G49" i="1"/>
  <c r="G11" i="1"/>
  <c r="G29" i="1" s="1"/>
  <c r="K66" i="1"/>
  <c r="K113" i="1" s="1"/>
  <c r="H55" i="1"/>
  <c r="H34" i="1"/>
  <c r="I34" i="1" s="1"/>
  <c r="J34" i="1" s="1"/>
  <c r="K34" i="1" s="1"/>
  <c r="H10" i="1"/>
  <c r="H11" i="1" s="1"/>
  <c r="H31" i="1"/>
  <c r="H43" i="1"/>
  <c r="H96" i="1" s="1"/>
  <c r="H45" i="1"/>
  <c r="H98" i="1" s="1"/>
  <c r="H32" i="1"/>
  <c r="G48" i="1"/>
  <c r="J25" i="1"/>
  <c r="J27" i="1"/>
  <c r="J65" i="1" l="1"/>
  <c r="K61" i="1"/>
  <c r="K110" i="1" s="1"/>
  <c r="J110" i="1"/>
  <c r="I35" i="1"/>
  <c r="H105" i="1"/>
  <c r="I31" i="1"/>
  <c r="H95" i="1"/>
  <c r="I56" i="1"/>
  <c r="H101" i="1"/>
  <c r="I45" i="1"/>
  <c r="I43" i="1"/>
  <c r="I96" i="1" s="1"/>
  <c r="I55" i="1"/>
  <c r="H100" i="1"/>
  <c r="I32" i="1"/>
  <c r="H104" i="1"/>
  <c r="H12" i="1"/>
  <c r="H13" i="1" s="1"/>
  <c r="I10" i="1"/>
  <c r="I12" i="1" s="1"/>
  <c r="K77" i="1"/>
  <c r="K64" i="1" s="1"/>
  <c r="J64" i="1"/>
  <c r="H49" i="1"/>
  <c r="I49" i="1" s="1"/>
  <c r="G44" i="1"/>
  <c r="G54" i="1"/>
  <c r="G99" i="1" s="1"/>
  <c r="H29" i="1"/>
  <c r="G13" i="1"/>
  <c r="G17" i="1" s="1"/>
  <c r="G19" i="1" s="1"/>
  <c r="G20" i="1" s="1"/>
  <c r="G50" i="1"/>
  <c r="H48" i="1"/>
  <c r="K25" i="1"/>
  <c r="K27" i="1"/>
  <c r="H106" i="1" l="1"/>
  <c r="J31" i="1"/>
  <c r="I95" i="1"/>
  <c r="G97" i="1"/>
  <c r="G86" i="1"/>
  <c r="G88" i="1" s="1"/>
  <c r="H85" i="1" s="1"/>
  <c r="G94" i="1"/>
  <c r="J56" i="1"/>
  <c r="I101" i="1"/>
  <c r="J55" i="1"/>
  <c r="I100" i="1"/>
  <c r="J45" i="1"/>
  <c r="J98" i="1"/>
  <c r="J32" i="1"/>
  <c r="I104" i="1"/>
  <c r="J43" i="1"/>
  <c r="J96" i="1" s="1"/>
  <c r="J35" i="1"/>
  <c r="J49" i="1" s="1"/>
  <c r="I105" i="1"/>
  <c r="J10" i="1"/>
  <c r="J11" i="1" s="1"/>
  <c r="H44" i="1"/>
  <c r="I98" i="1"/>
  <c r="G67" i="1"/>
  <c r="G68" i="1" s="1"/>
  <c r="I11" i="1"/>
  <c r="I29" i="1" s="1"/>
  <c r="H50" i="1"/>
  <c r="H54" i="1"/>
  <c r="H99" i="1" s="1"/>
  <c r="G57" i="1"/>
  <c r="I48" i="1"/>
  <c r="J29" i="1" l="1"/>
  <c r="K10" i="1"/>
  <c r="K12" i="1" s="1"/>
  <c r="G102" i="1"/>
  <c r="G120" i="1" s="1"/>
  <c r="G121" i="1" s="1"/>
  <c r="G109" i="1" s="1"/>
  <c r="G115" i="1" s="1"/>
  <c r="G117" i="1" s="1"/>
  <c r="G42" i="1" s="1"/>
  <c r="H15" i="1" s="1"/>
  <c r="H97" i="1"/>
  <c r="K43" i="1"/>
  <c r="K96" i="1" s="1"/>
  <c r="K55" i="1"/>
  <c r="K100" i="1" s="1"/>
  <c r="J100" i="1"/>
  <c r="I106" i="1"/>
  <c r="J12" i="1"/>
  <c r="J13" i="1" s="1"/>
  <c r="I44" i="1"/>
  <c r="K35" i="1"/>
  <c r="K105" i="1" s="1"/>
  <c r="J105" i="1"/>
  <c r="K32" i="1"/>
  <c r="K104" i="1" s="1"/>
  <c r="J104" i="1"/>
  <c r="K45" i="1"/>
  <c r="K98" i="1" s="1"/>
  <c r="K56" i="1"/>
  <c r="K101" i="1" s="1"/>
  <c r="J101" i="1"/>
  <c r="K31" i="1"/>
  <c r="K95" i="1" s="1"/>
  <c r="J95" i="1"/>
  <c r="I13" i="1"/>
  <c r="H57" i="1"/>
  <c r="I54" i="1"/>
  <c r="I99" i="1" s="1"/>
  <c r="I50" i="1"/>
  <c r="J48" i="1"/>
  <c r="J44" i="1" l="1"/>
  <c r="K106" i="1"/>
  <c r="K11" i="1"/>
  <c r="K29" i="1" s="1"/>
  <c r="K44" i="1" s="1"/>
  <c r="K97" i="1" s="1"/>
  <c r="G59" i="1"/>
  <c r="H16" i="1" s="1"/>
  <c r="H17" i="1" s="1"/>
  <c r="H19" i="1" s="1"/>
  <c r="H20" i="1" s="1"/>
  <c r="G46" i="1"/>
  <c r="G52" i="1" s="1"/>
  <c r="J106" i="1"/>
  <c r="J97" i="1"/>
  <c r="I97" i="1"/>
  <c r="K49" i="1"/>
  <c r="J54" i="1"/>
  <c r="J99" i="1" s="1"/>
  <c r="I57" i="1"/>
  <c r="K48" i="1"/>
  <c r="K50" i="1" s="1"/>
  <c r="J50" i="1"/>
  <c r="K13" i="1" l="1"/>
  <c r="H86" i="1"/>
  <c r="H88" i="1" s="1"/>
  <c r="I85" i="1" s="1"/>
  <c r="H94" i="1"/>
  <c r="H102" i="1" s="1"/>
  <c r="H120" i="1" s="1"/>
  <c r="H121" i="1" s="1"/>
  <c r="H109" i="1" s="1"/>
  <c r="H115" i="1" s="1"/>
  <c r="H117" i="1" s="1"/>
  <c r="H42" i="1" s="1"/>
  <c r="I15" i="1" s="1"/>
  <c r="G62" i="1"/>
  <c r="G70" i="1" s="1"/>
  <c r="G71" i="1" s="1"/>
  <c r="J57" i="1"/>
  <c r="K54" i="1"/>
  <c r="H67" i="1" l="1"/>
  <c r="H68" i="1" s="1"/>
  <c r="H59" i="1"/>
  <c r="H46" i="1"/>
  <c r="H52" i="1" s="1"/>
  <c r="K57" i="1"/>
  <c r="K99" i="1"/>
  <c r="H62" i="1" l="1"/>
  <c r="H70" i="1" s="1"/>
  <c r="H71" i="1" s="1"/>
  <c r="I16" i="1"/>
  <c r="I17" i="1" s="1"/>
  <c r="I19" i="1" s="1"/>
  <c r="I20" i="1" s="1"/>
  <c r="I86" i="1" l="1"/>
  <c r="I88" i="1" s="1"/>
  <c r="I94" i="1"/>
  <c r="I102" i="1" s="1"/>
  <c r="I120" i="1" s="1"/>
  <c r="I121" i="1" s="1"/>
  <c r="I109" i="1" s="1"/>
  <c r="I115" i="1" s="1"/>
  <c r="I117" i="1" s="1"/>
  <c r="I42" i="1" s="1"/>
  <c r="I59" i="1" l="1"/>
  <c r="I62" i="1" s="1"/>
  <c r="J16" i="1"/>
  <c r="J85" i="1"/>
  <c r="I67" i="1"/>
  <c r="I68" i="1" s="1"/>
  <c r="J15" i="1"/>
  <c r="I46" i="1"/>
  <c r="I52" i="1" s="1"/>
  <c r="J17" i="1" l="1"/>
  <c r="J19" i="1" s="1"/>
  <c r="J20" i="1" s="1"/>
  <c r="J94" i="1" s="1"/>
  <c r="J102" i="1" s="1"/>
  <c r="J120" i="1" s="1"/>
  <c r="J121" i="1" s="1"/>
  <c r="I70" i="1"/>
  <c r="I71" i="1" s="1"/>
  <c r="J86" i="1"/>
  <c r="J88" i="1" s="1"/>
  <c r="J109" i="1" l="1"/>
  <c r="J115" i="1" s="1"/>
  <c r="J117" i="1" s="1"/>
  <c r="J42" i="1" s="1"/>
  <c r="J59" i="1"/>
  <c r="K16" i="1" s="1"/>
  <c r="J67" i="1"/>
  <c r="J68" i="1" s="1"/>
  <c r="K85" i="1"/>
  <c r="J62" i="1" l="1"/>
  <c r="J70" i="1" s="1"/>
  <c r="K15" i="1"/>
  <c r="K17" i="1" s="1"/>
  <c r="K19" i="1" s="1"/>
  <c r="K20" i="1" s="1"/>
  <c r="J46" i="1"/>
  <c r="J52" i="1" s="1"/>
  <c r="J71" i="1" s="1"/>
  <c r="K94" i="1" l="1"/>
  <c r="K102" i="1" s="1"/>
  <c r="K120" i="1" s="1"/>
  <c r="K121" i="1" s="1"/>
  <c r="K86" i="1"/>
  <c r="K88" i="1" s="1"/>
  <c r="K67" i="1" s="1"/>
  <c r="K68" i="1" s="1"/>
  <c r="K109" i="1" l="1"/>
  <c r="K115" i="1" s="1"/>
  <c r="K117" i="1" s="1"/>
  <c r="K42" i="1" s="1"/>
  <c r="K46" i="1" s="1"/>
  <c r="K52" i="1" s="1"/>
  <c r="K59" i="1"/>
  <c r="K62" i="1" s="1"/>
  <c r="K70" i="1" s="1"/>
  <c r="K71" i="1" l="1"/>
</calcChain>
</file>

<file path=xl/sharedStrings.xml><?xml version="1.0" encoding="utf-8"?>
<sst xmlns="http://schemas.openxmlformats.org/spreadsheetml/2006/main" count="91" uniqueCount="75">
  <si>
    <t>Actuals</t>
  </si>
  <si>
    <t>Projections</t>
  </si>
  <si>
    <t>Kshs (in millions)</t>
  </si>
  <si>
    <t>Income Statement</t>
  </si>
  <si>
    <t>Revenue</t>
  </si>
  <si>
    <t>Cost of Goods Sold</t>
  </si>
  <si>
    <t>Operating Expenses</t>
  </si>
  <si>
    <t>Interest Income</t>
  </si>
  <si>
    <t>Interest Expense</t>
  </si>
  <si>
    <t>Operating Profit/EBIT</t>
  </si>
  <si>
    <t>Pretax Profit/EBT</t>
  </si>
  <si>
    <t>Tax Expense</t>
  </si>
  <si>
    <t>Net Income</t>
  </si>
  <si>
    <t>Margins/Growth Rates</t>
  </si>
  <si>
    <t>Gross Profit Margin</t>
  </si>
  <si>
    <t>Operating Expenses as % of revenue</t>
  </si>
  <si>
    <t>Tax Rate</t>
  </si>
  <si>
    <t>Revenue Growth Rate</t>
  </si>
  <si>
    <t>Balance Sheet</t>
  </si>
  <si>
    <t>Cash and Equivalents</t>
  </si>
  <si>
    <t>Accounts Receivable</t>
  </si>
  <si>
    <t>Inventory</t>
  </si>
  <si>
    <t>Prepaid Expenses &amp; Other WC Assets</t>
  </si>
  <si>
    <t>Current Assets</t>
  </si>
  <si>
    <t>Property Plant &amp; Equipment</t>
  </si>
  <si>
    <t>Intangible Assets</t>
  </si>
  <si>
    <t>Non Current Assets</t>
  </si>
  <si>
    <t>Total Assets</t>
  </si>
  <si>
    <t>Memo: COGS growth rate</t>
  </si>
  <si>
    <t>Memo: Depreciation in Opex and COGS</t>
  </si>
  <si>
    <t>Memo: Capital Expenditures</t>
  </si>
  <si>
    <t>Memo: Purchases of Intangibles</t>
  </si>
  <si>
    <t>Accounts Payable</t>
  </si>
  <si>
    <t>Accrued Expenses and Other</t>
  </si>
  <si>
    <t>Other Current Liabilities</t>
  </si>
  <si>
    <t>Total Current Liabilities</t>
  </si>
  <si>
    <t>Revolver</t>
  </si>
  <si>
    <t>Long Term Debt</t>
  </si>
  <si>
    <t>Other Liabilities</t>
  </si>
  <si>
    <t>Total Liabilities</t>
  </si>
  <si>
    <t>Common Stock and APIC</t>
  </si>
  <si>
    <t>Treasury Stock</t>
  </si>
  <si>
    <t>Other Comprehensive Income</t>
  </si>
  <si>
    <t>Retained Earnings</t>
  </si>
  <si>
    <t>Total Equity</t>
  </si>
  <si>
    <t>Balance Check</t>
  </si>
  <si>
    <t>Total Liabilites and Equity</t>
  </si>
  <si>
    <t>Schedules</t>
  </si>
  <si>
    <t>Common Stock and APIC - BOP</t>
  </si>
  <si>
    <t>New Issuances of Common Stock</t>
  </si>
  <si>
    <t>Common Stock and APIC - EOP</t>
  </si>
  <si>
    <t>Treasury Stock - BOP</t>
  </si>
  <si>
    <t>New repurchases (buybacks)</t>
  </si>
  <si>
    <t>Treasury Stock - EOP</t>
  </si>
  <si>
    <t>Retained Earnings - BOP</t>
  </si>
  <si>
    <t>Retained Earnings - EOP</t>
  </si>
  <si>
    <t>Dividends</t>
  </si>
  <si>
    <t>Cash Flow Statement</t>
  </si>
  <si>
    <t>x</t>
  </si>
  <si>
    <t>Depreciation &amp; Amortization</t>
  </si>
  <si>
    <t>Cash Flow from Operations</t>
  </si>
  <si>
    <t>Memo: Amortization in Opex and COGS</t>
  </si>
  <si>
    <t>Capital Expenditures</t>
  </si>
  <si>
    <t>Purchases of Intangible Assets</t>
  </si>
  <si>
    <t>Cash for Investing Activities</t>
  </si>
  <si>
    <t>Issuances of Common Stock</t>
  </si>
  <si>
    <t>Repurchases</t>
  </si>
  <si>
    <t>Cash From Financing Activities</t>
  </si>
  <si>
    <t>Total Change in Cash</t>
  </si>
  <si>
    <t>Total Cash Flow Before Any Revolver Borrowing</t>
  </si>
  <si>
    <t>Total Revolver Borrowing Needed</t>
  </si>
  <si>
    <t>Memo: % Interest Earned on Cash</t>
  </si>
  <si>
    <t>Memo: % Interest Rate on Debt</t>
  </si>
  <si>
    <t>AfriPure Home Essentials Ltd.</t>
  </si>
  <si>
    <t>Three Statement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</si>
</sst>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_);\(#,##0.0\)"/>
    <numFmt numFmtId="165" formatCode="0.0%"/>
    <numFmt numFmtId="166" formatCode="#,##0.0"/>
    <numFmt numFmtId="167" formatCode="0.0"/>
    <numFmt numFmtId="168" formatCode="0.0_);\(0.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70C0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22"/>
      <color theme="1"/>
      <name val="Times New Roman"/>
      <family val="1"/>
    </font>
    <font>
      <b/>
      <sz val="26"/>
      <color theme="8" tint="-0.499984740745262"/>
      <name val="Times New Roman"/>
      <family val="1"/>
    </font>
    <font>
      <sz val="26"/>
      <color theme="8" tint="-0.499984740745262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Fill="1"/>
    <xf numFmtId="0" fontId="3" fillId="0" borderId="0" xfId="0" applyFont="1" applyFill="1"/>
    <xf numFmtId="164" fontId="4" fillId="0" borderId="0" xfId="0" applyNumberFormat="1" applyFont="1" applyFill="1"/>
    <xf numFmtId="164" fontId="2" fillId="0" borderId="0" xfId="0" applyNumberFormat="1" applyFont="1" applyFill="1"/>
    <xf numFmtId="164" fontId="3" fillId="0" borderId="0" xfId="0" applyNumberFormat="1" applyFont="1" applyFill="1"/>
    <xf numFmtId="0" fontId="3" fillId="0" borderId="1" xfId="0" applyFont="1" applyFill="1" applyBorder="1"/>
    <xf numFmtId="165" fontId="2" fillId="0" borderId="0" xfId="1" applyNumberFormat="1" applyFont="1" applyFill="1"/>
    <xf numFmtId="165" fontId="2" fillId="0" borderId="0" xfId="0" applyNumberFormat="1" applyFont="1" applyFill="1"/>
    <xf numFmtId="9" fontId="2" fillId="0" borderId="0" xfId="1" applyFont="1" applyFill="1"/>
    <xf numFmtId="164" fontId="2" fillId="2" borderId="0" xfId="0" applyNumberFormat="1" applyFont="1" applyFill="1"/>
    <xf numFmtId="0" fontId="5" fillId="0" borderId="0" xfId="0" applyFont="1" applyFill="1"/>
    <xf numFmtId="166" fontId="4" fillId="0" borderId="0" xfId="0" applyNumberFormat="1" applyFont="1" applyFill="1"/>
    <xf numFmtId="167" fontId="2" fillId="0" borderId="0" xfId="0" applyNumberFormat="1" applyFont="1" applyFill="1"/>
    <xf numFmtId="0" fontId="3" fillId="0" borderId="2" xfId="0" applyFont="1" applyFill="1" applyBorder="1"/>
    <xf numFmtId="164" fontId="3" fillId="0" borderId="2" xfId="0" applyNumberFormat="1" applyFont="1" applyFill="1" applyBorder="1"/>
    <xf numFmtId="164" fontId="3" fillId="0" borderId="1" xfId="0" applyNumberFormat="1" applyFont="1" applyFill="1" applyBorder="1"/>
    <xf numFmtId="166" fontId="3" fillId="0" borderId="2" xfId="0" applyNumberFormat="1" applyFont="1" applyFill="1" applyBorder="1"/>
    <xf numFmtId="168" fontId="2" fillId="0" borderId="0" xfId="0" applyNumberFormat="1" applyFont="1" applyFill="1"/>
    <xf numFmtId="168" fontId="3" fillId="0" borderId="0" xfId="0" applyNumberFormat="1" applyFont="1" applyFill="1"/>
    <xf numFmtId="168" fontId="4" fillId="0" borderId="0" xfId="0" applyNumberFormat="1" applyFont="1" applyFill="1"/>
    <xf numFmtId="168" fontId="6" fillId="0" borderId="0" xfId="0" applyNumberFormat="1" applyFont="1" applyFill="1"/>
    <xf numFmtId="9" fontId="4" fillId="0" borderId="0" xfId="1" applyFont="1" applyFill="1"/>
    <xf numFmtId="0" fontId="6" fillId="3" borderId="0" xfId="0" applyFont="1" applyFill="1"/>
    <xf numFmtId="0" fontId="7" fillId="3" borderId="0" xfId="0" applyFont="1" applyFill="1" applyAlignment="1">
      <alignment horizontal="centerContinuous"/>
    </xf>
    <xf numFmtId="0" fontId="8" fillId="0" borderId="0" xfId="0" applyFont="1" applyFill="1"/>
    <xf numFmtId="0" fontId="2" fillId="0" borderId="0" xfId="0" applyFont="1" applyFill="1" applyAlignment="1">
      <alignment horizontal="centerContinuous"/>
    </xf>
    <xf numFmtId="0" fontId="9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11" fillId="0" borderId="0" xfId="0" applyFont="1" applyFill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121"/>
  <sheetViews>
    <sheetView tabSelected="1" topLeftCell="A53" workbookViewId="0">
      <selection activeCell="I4" sqref="I4"/>
    </sheetView>
  </sheetViews>
  <sheetFormatPr defaultRowHeight="15.75" x14ac:dyDescent="0.25"/>
  <cols>
    <col min="1" max="1" width="9.140625" style="1"/>
    <col min="2" max="2" width="3.7109375" style="1" customWidth="1"/>
    <col min="3" max="3" width="45.140625" style="1" bestFit="1" customWidth="1"/>
    <col min="4" max="6" width="9.140625" style="1"/>
    <col min="7" max="7" width="10.7109375" style="1" bestFit="1" customWidth="1"/>
    <col min="8" max="16384" width="9.140625" style="1"/>
  </cols>
  <sheetData>
    <row r="3" spans="1:11" ht="33" x14ac:dyDescent="0.45">
      <c r="C3" s="27" t="s">
        <v>73</v>
      </c>
      <c r="D3" s="28"/>
      <c r="E3" s="28"/>
      <c r="F3" s="28"/>
      <c r="G3" s="28"/>
      <c r="H3" s="28"/>
    </row>
    <row r="4" spans="1:11" ht="18.75" x14ac:dyDescent="0.3">
      <c r="C4" s="29" t="s">
        <v>74</v>
      </c>
      <c r="D4" s="26"/>
      <c r="E4" s="26"/>
      <c r="F4" s="26"/>
      <c r="G4" s="26"/>
      <c r="H4" s="26"/>
    </row>
    <row r="5" spans="1:11" x14ac:dyDescent="0.25">
      <c r="A5" s="1" t="s">
        <v>2</v>
      </c>
    </row>
    <row r="6" spans="1:11" x14ac:dyDescent="0.25">
      <c r="C6" s="23"/>
      <c r="D6" s="24" t="s">
        <v>0</v>
      </c>
      <c r="E6" s="24"/>
      <c r="F6" s="24"/>
      <c r="G6" s="24" t="s">
        <v>1</v>
      </c>
      <c r="H6" s="24"/>
      <c r="I6" s="24"/>
      <c r="J6" s="24"/>
      <c r="K6" s="24"/>
    </row>
    <row r="7" spans="1:11" x14ac:dyDescent="0.25">
      <c r="C7" s="23"/>
      <c r="D7" s="23">
        <f>E7-1</f>
        <v>2022</v>
      </c>
      <c r="E7" s="23">
        <f>F7-1</f>
        <v>2023</v>
      </c>
      <c r="F7" s="23">
        <v>2024</v>
      </c>
      <c r="G7" s="23">
        <f>F7+1</f>
        <v>2025</v>
      </c>
      <c r="H7" s="23">
        <f t="shared" ref="H7:K7" si="0">G7+1</f>
        <v>2026</v>
      </c>
      <c r="I7" s="23">
        <f t="shared" si="0"/>
        <v>2027</v>
      </c>
      <c r="J7" s="23">
        <f t="shared" si="0"/>
        <v>2028</v>
      </c>
      <c r="K7" s="23">
        <f t="shared" si="0"/>
        <v>2029</v>
      </c>
    </row>
    <row r="8" spans="1:11" ht="27" x14ac:dyDescent="0.35">
      <c r="B8" s="1" t="s">
        <v>58</v>
      </c>
      <c r="C8" s="25" t="s">
        <v>3</v>
      </c>
    </row>
    <row r="10" spans="1:11" x14ac:dyDescent="0.25">
      <c r="C10" s="1" t="s">
        <v>4</v>
      </c>
      <c r="D10" s="3">
        <v>1000</v>
      </c>
      <c r="E10" s="3">
        <v>1100</v>
      </c>
      <c r="F10" s="3">
        <v>1200</v>
      </c>
      <c r="G10" s="4">
        <f>F10*(1+G24)</f>
        <v>1314.5454545454545</v>
      </c>
      <c r="H10" s="4">
        <f t="shared" ref="H10:K10" si="1">G10*(1+H24)</f>
        <v>1440.0247933884298</v>
      </c>
      <c r="I10" s="4">
        <f t="shared" si="1"/>
        <v>1577.481705484598</v>
      </c>
      <c r="J10" s="4">
        <f t="shared" si="1"/>
        <v>1728.0595046444914</v>
      </c>
      <c r="K10" s="4">
        <f t="shared" si="1"/>
        <v>1893.0106391787383</v>
      </c>
    </row>
    <row r="11" spans="1:11" x14ac:dyDescent="0.25">
      <c r="C11" s="1" t="s">
        <v>5</v>
      </c>
      <c r="D11" s="3">
        <v>-600</v>
      </c>
      <c r="E11" s="3">
        <v>-718</v>
      </c>
      <c r="F11" s="3">
        <v>-750</v>
      </c>
      <c r="G11" s="4">
        <f>-(1-G25)*G10</f>
        <v>-822.78595041322319</v>
      </c>
      <c r="H11" s="4">
        <f>-(1-H25)*H10</f>
        <v>-901.32460931630362</v>
      </c>
      <c r="I11" s="4">
        <f t="shared" ref="I11:K11" si="2">-(1-I25)*I10</f>
        <v>-987.36014020558719</v>
      </c>
      <c r="J11" s="4">
        <f t="shared" si="2"/>
        <v>-1081.6081535888477</v>
      </c>
      <c r="K11" s="4">
        <f t="shared" si="2"/>
        <v>-1184.8525682496013</v>
      </c>
    </row>
    <row r="12" spans="1:11" x14ac:dyDescent="0.25">
      <c r="C12" s="1" t="s">
        <v>6</v>
      </c>
      <c r="D12" s="3">
        <v>-130</v>
      </c>
      <c r="E12" s="3">
        <v>-140</v>
      </c>
      <c r="F12" s="3">
        <v>-150</v>
      </c>
      <c r="G12" s="4">
        <f>-G10*G26</f>
        <v>-167.50495867768592</v>
      </c>
      <c r="H12" s="4">
        <f t="shared" ref="H12:K12" si="3">-H10*H26</f>
        <v>-183.49406836964687</v>
      </c>
      <c r="I12" s="4">
        <f t="shared" si="3"/>
        <v>-201.00941125947679</v>
      </c>
      <c r="J12" s="4">
        <f t="shared" si="3"/>
        <v>-220.19667324333594</v>
      </c>
      <c r="K12" s="4">
        <f t="shared" si="3"/>
        <v>-241.21544659838162</v>
      </c>
    </row>
    <row r="13" spans="1:11" x14ac:dyDescent="0.25">
      <c r="C13" s="1" t="s">
        <v>9</v>
      </c>
      <c r="D13" s="5">
        <f>D10+D11+D12</f>
        <v>270</v>
      </c>
      <c r="E13" s="5">
        <f t="shared" ref="E13:F13" si="4">E10+E11+E12</f>
        <v>242</v>
      </c>
      <c r="F13" s="5">
        <f t="shared" si="4"/>
        <v>300</v>
      </c>
      <c r="G13" s="5">
        <f t="shared" ref="G13" si="5">G10+G11+G12</f>
        <v>324.25454545454539</v>
      </c>
      <c r="H13" s="5">
        <f t="shared" ref="H13" si="6">H10+H11+H12</f>
        <v>355.20611570247928</v>
      </c>
      <c r="I13" s="5">
        <f t="shared" ref="I13" si="7">I10+I11+I12</f>
        <v>389.11215401953405</v>
      </c>
      <c r="J13" s="5">
        <f t="shared" ref="J13" si="8">J10+J11+J12</f>
        <v>426.25467781230782</v>
      </c>
      <c r="K13" s="5">
        <f t="shared" ref="K13" si="9">K10+K11+K12</f>
        <v>466.94262433075539</v>
      </c>
    </row>
    <row r="15" spans="1:11" x14ac:dyDescent="0.25">
      <c r="C15" s="1" t="s">
        <v>7</v>
      </c>
      <c r="D15" s="3">
        <v>5</v>
      </c>
      <c r="E15" s="3">
        <v>6</v>
      </c>
      <c r="F15" s="3">
        <v>7</v>
      </c>
      <c r="G15" s="10">
        <f>G37*F42</f>
        <v>12.200000000000001</v>
      </c>
      <c r="H15" s="10">
        <f t="shared" ref="H15:K15" si="10">H37*G42</f>
        <v>13.903277137449541</v>
      </c>
      <c r="I15" s="10">
        <f t="shared" si="10"/>
        <v>16.545416285626171</v>
      </c>
      <c r="J15" s="10">
        <f t="shared" si="10"/>
        <v>20.033188695887812</v>
      </c>
      <c r="K15" s="10">
        <f t="shared" si="10"/>
        <v>24.464858324044918</v>
      </c>
    </row>
    <row r="16" spans="1:11" x14ac:dyDescent="0.25">
      <c r="C16" s="1" t="s">
        <v>8</v>
      </c>
      <c r="D16" s="3">
        <v>-11</v>
      </c>
      <c r="E16" s="3">
        <v>-12</v>
      </c>
      <c r="F16" s="3">
        <v>-11</v>
      </c>
      <c r="G16" s="10">
        <f>-G38*SUM(F59,F60)</f>
        <v>-16.919999999999998</v>
      </c>
      <c r="H16" s="10">
        <f t="shared" ref="H16:K16" si="11">-H38*SUM(G59,G60)</f>
        <v>-16.559999999999999</v>
      </c>
      <c r="I16" s="10">
        <f t="shared" si="11"/>
        <v>-16.559999999999999</v>
      </c>
      <c r="J16" s="10">
        <f t="shared" si="11"/>
        <v>-16.559999999999999</v>
      </c>
      <c r="K16" s="10">
        <f t="shared" si="11"/>
        <v>-16.559999999999999</v>
      </c>
    </row>
    <row r="17" spans="3:11" x14ac:dyDescent="0.25">
      <c r="C17" s="1" t="s">
        <v>10</v>
      </c>
      <c r="D17" s="5">
        <f>D13+SUM(D15,D16)</f>
        <v>264</v>
      </c>
      <c r="E17" s="5">
        <f t="shared" ref="E17:F17" si="12">E13+SUM(E15,E16)</f>
        <v>236</v>
      </c>
      <c r="F17" s="5">
        <f t="shared" si="12"/>
        <v>296</v>
      </c>
      <c r="G17" s="5">
        <f t="shared" ref="G17" si="13">G13+SUM(G15,G16)</f>
        <v>319.53454545454542</v>
      </c>
      <c r="H17" s="5">
        <f t="shared" ref="H17" si="14">H13+SUM(H15,H16)</f>
        <v>352.54939283992883</v>
      </c>
      <c r="I17" s="5">
        <f t="shared" ref="I17" si="15">I13+SUM(I15,I16)</f>
        <v>389.09757030516022</v>
      </c>
      <c r="J17" s="5">
        <f t="shared" ref="J17" si="16">J13+SUM(J15,J16)</f>
        <v>429.72786650819563</v>
      </c>
      <c r="K17" s="5">
        <f t="shared" ref="K17" si="17">K13+SUM(K15,K16)</f>
        <v>474.84748265480033</v>
      </c>
    </row>
    <row r="19" spans="3:11" x14ac:dyDescent="0.25">
      <c r="C19" s="1" t="s">
        <v>11</v>
      </c>
      <c r="D19" s="3">
        <v>-69</v>
      </c>
      <c r="E19" s="3">
        <v>-72</v>
      </c>
      <c r="F19" s="3">
        <v>-64</v>
      </c>
      <c r="G19" s="4">
        <f>-G17*G27</f>
        <v>-83.362792224918579</v>
      </c>
      <c r="H19" s="4">
        <f t="shared" ref="H19:K19" si="18">-H17*H27</f>
        <v>-91.975976314325962</v>
      </c>
      <c r="I19" s="4">
        <f t="shared" si="18"/>
        <v>-101.51096452631866</v>
      </c>
      <c r="J19" s="4">
        <f t="shared" si="18"/>
        <v>-112.11092934574803</v>
      </c>
      <c r="K19" s="4">
        <f t="shared" si="18"/>
        <v>-123.88210476199906</v>
      </c>
    </row>
    <row r="20" spans="3:11" x14ac:dyDescent="0.25">
      <c r="C20" s="1" t="s">
        <v>12</v>
      </c>
      <c r="D20" s="5">
        <f>D17+D19</f>
        <v>195</v>
      </c>
      <c r="E20" s="5">
        <f t="shared" ref="E20:F20" si="19">E17+E19</f>
        <v>164</v>
      </c>
      <c r="F20" s="5">
        <f t="shared" si="19"/>
        <v>232</v>
      </c>
      <c r="G20" s="5">
        <f t="shared" ref="G20" si="20">G17+G19</f>
        <v>236.17175322962686</v>
      </c>
      <c r="H20" s="5">
        <f t="shared" ref="H20" si="21">H17+H19</f>
        <v>260.57341652560285</v>
      </c>
      <c r="I20" s="5">
        <f t="shared" ref="I20" si="22">I17+I19</f>
        <v>287.58660577884154</v>
      </c>
      <c r="J20" s="5">
        <f t="shared" ref="J20" si="23">J17+J19</f>
        <v>317.61693716244758</v>
      </c>
      <c r="K20" s="5">
        <f t="shared" ref="K20" si="24">K17+K19</f>
        <v>350.96537789280126</v>
      </c>
    </row>
    <row r="23" spans="3:11" ht="16.5" thickBot="1" x14ac:dyDescent="0.3">
      <c r="C23" s="6" t="s">
        <v>13</v>
      </c>
    </row>
    <row r="24" spans="3:11" x14ac:dyDescent="0.25">
      <c r="C24" s="1" t="s">
        <v>17</v>
      </c>
      <c r="E24" s="7">
        <f>(E10-D10)/D10</f>
        <v>0.1</v>
      </c>
      <c r="F24" s="7">
        <f>(F10-E10)/E10</f>
        <v>9.0909090909090912E-2</v>
      </c>
      <c r="G24" s="8">
        <f>AVERAGE(F24,E24)</f>
        <v>9.5454545454545459E-2</v>
      </c>
      <c r="H24" s="8">
        <f>G24</f>
        <v>9.5454545454545459E-2</v>
      </c>
      <c r="I24" s="8">
        <f t="shared" ref="I24:K24" si="25">H24</f>
        <v>9.5454545454545459E-2</v>
      </c>
      <c r="J24" s="8">
        <f t="shared" si="25"/>
        <v>9.5454545454545459E-2</v>
      </c>
      <c r="K24" s="8">
        <f t="shared" si="25"/>
        <v>9.5454545454545459E-2</v>
      </c>
    </row>
    <row r="25" spans="3:11" x14ac:dyDescent="0.25">
      <c r="C25" s="1" t="s">
        <v>14</v>
      </c>
      <c r="D25" s="7">
        <f>1+(D11/D10)</f>
        <v>0.4</v>
      </c>
      <c r="E25" s="7">
        <f t="shared" ref="E25:F25" si="26">1+(E11/E10)</f>
        <v>0.34727272727272729</v>
      </c>
      <c r="F25" s="7">
        <f t="shared" si="26"/>
        <v>0.375</v>
      </c>
      <c r="G25" s="8">
        <f>AVERAGE(F25,E25,D25)</f>
        <v>0.37409090909090909</v>
      </c>
      <c r="H25" s="8">
        <f>G25</f>
        <v>0.37409090909090909</v>
      </c>
      <c r="I25" s="8">
        <f t="shared" ref="I25:K25" si="27">H25</f>
        <v>0.37409090909090909</v>
      </c>
      <c r="J25" s="8">
        <f t="shared" si="27"/>
        <v>0.37409090909090909</v>
      </c>
      <c r="K25" s="8">
        <f t="shared" si="27"/>
        <v>0.37409090909090909</v>
      </c>
    </row>
    <row r="26" spans="3:11" x14ac:dyDescent="0.25">
      <c r="C26" s="1" t="s">
        <v>15</v>
      </c>
      <c r="D26" s="7">
        <f>-D12/D10</f>
        <v>0.13</v>
      </c>
      <c r="E26" s="7">
        <f t="shared" ref="E26:F26" si="28">-E12/E10</f>
        <v>0.12727272727272726</v>
      </c>
      <c r="F26" s="7">
        <f t="shared" si="28"/>
        <v>0.125</v>
      </c>
      <c r="G26" s="8">
        <f>AVERAGE(F26,E26,D26)</f>
        <v>0.12742424242424241</v>
      </c>
      <c r="H26" s="8">
        <f>G26</f>
        <v>0.12742424242424241</v>
      </c>
      <c r="I26" s="8">
        <f t="shared" ref="I26:K26" si="29">H26</f>
        <v>0.12742424242424241</v>
      </c>
      <c r="J26" s="8">
        <f t="shared" si="29"/>
        <v>0.12742424242424241</v>
      </c>
      <c r="K26" s="8">
        <f t="shared" si="29"/>
        <v>0.12742424242424241</v>
      </c>
    </row>
    <row r="27" spans="3:11" x14ac:dyDescent="0.25">
      <c r="C27" s="1" t="s">
        <v>16</v>
      </c>
      <c r="D27" s="7">
        <f>-D19/D17</f>
        <v>0.26136363636363635</v>
      </c>
      <c r="E27" s="7">
        <f t="shared" ref="E27:F27" si="30">-E19/E17</f>
        <v>0.30508474576271188</v>
      </c>
      <c r="F27" s="7">
        <f t="shared" si="30"/>
        <v>0.21621621621621623</v>
      </c>
      <c r="G27" s="8">
        <f>AVERAGE(F27,E27,D27)</f>
        <v>0.26088819944752151</v>
      </c>
      <c r="H27" s="8">
        <f>G27</f>
        <v>0.26088819944752151</v>
      </c>
      <c r="I27" s="8">
        <f t="shared" ref="I27:K27" si="31">H27</f>
        <v>0.26088819944752151</v>
      </c>
      <c r="J27" s="8">
        <f t="shared" si="31"/>
        <v>0.26088819944752151</v>
      </c>
      <c r="K27" s="8">
        <f t="shared" si="31"/>
        <v>0.26088819944752151</v>
      </c>
    </row>
    <row r="28" spans="3:11" x14ac:dyDescent="0.25">
      <c r="D28" s="7"/>
      <c r="E28" s="7"/>
      <c r="F28" s="7"/>
      <c r="G28" s="8"/>
      <c r="H28" s="8"/>
      <c r="I28" s="8"/>
      <c r="J28" s="8"/>
      <c r="K28" s="8"/>
    </row>
    <row r="29" spans="3:11" x14ac:dyDescent="0.25">
      <c r="C29" s="11" t="s">
        <v>28</v>
      </c>
      <c r="D29" s="9" t="e">
        <f t="shared" ref="D29" si="32">(D11-C11)/C11</f>
        <v>#VALUE!</v>
      </c>
      <c r="E29" s="9">
        <f>(E11-D11)/D11</f>
        <v>0.19666666666666666</v>
      </c>
      <c r="F29" s="9">
        <f t="shared" ref="F29:K29" si="33">(F11-E11)/E11</f>
        <v>4.456824512534819E-2</v>
      </c>
      <c r="G29" s="9">
        <f t="shared" si="33"/>
        <v>9.7047933884297582E-2</v>
      </c>
      <c r="H29" s="9">
        <f t="shared" si="33"/>
        <v>9.54545454545455E-2</v>
      </c>
      <c r="I29" s="9">
        <f t="shared" si="33"/>
        <v>9.54545454545455E-2</v>
      </c>
      <c r="J29" s="9">
        <f t="shared" si="33"/>
        <v>9.5454545454545375E-2</v>
      </c>
      <c r="K29" s="9">
        <f t="shared" si="33"/>
        <v>9.5454545454545403E-2</v>
      </c>
    </row>
    <row r="30" spans="3:11" x14ac:dyDescent="0.25">
      <c r="C30" s="11"/>
      <c r="D30" s="9"/>
      <c r="E30" s="9"/>
      <c r="F30" s="9"/>
      <c r="G30" s="9"/>
      <c r="H30" s="9"/>
      <c r="I30" s="9"/>
      <c r="J30" s="9"/>
      <c r="K30" s="9"/>
    </row>
    <row r="31" spans="3:11" x14ac:dyDescent="0.25">
      <c r="C31" s="11" t="s">
        <v>29</v>
      </c>
      <c r="D31" s="3">
        <v>-25</v>
      </c>
      <c r="E31" s="3">
        <v>-30</v>
      </c>
      <c r="F31" s="3">
        <v>-35</v>
      </c>
      <c r="G31" s="4">
        <f>F31*(1+G24)</f>
        <v>-38.340909090909093</v>
      </c>
      <c r="H31" s="4">
        <f t="shared" ref="H31:K31" si="34">G31*(1+H24)</f>
        <v>-42.000723140495872</v>
      </c>
      <c r="I31" s="4">
        <f t="shared" si="34"/>
        <v>-46.009883076634111</v>
      </c>
      <c r="J31" s="4">
        <f t="shared" si="34"/>
        <v>-50.401735552131001</v>
      </c>
      <c r="K31" s="4">
        <f t="shared" si="34"/>
        <v>-55.212810309379869</v>
      </c>
    </row>
    <row r="32" spans="3:11" x14ac:dyDescent="0.25">
      <c r="C32" s="11" t="s">
        <v>30</v>
      </c>
      <c r="D32" s="3">
        <v>-35</v>
      </c>
      <c r="E32" s="3">
        <v>-40</v>
      </c>
      <c r="F32" s="3">
        <v>-57</v>
      </c>
      <c r="G32" s="4">
        <f>F32*(1+G24)</f>
        <v>-62.440909090909088</v>
      </c>
      <c r="H32" s="4">
        <f t="shared" ref="H32:K32" si="35">G32*(1+H24)</f>
        <v>-68.401177685950415</v>
      </c>
      <c r="I32" s="4">
        <f t="shared" si="35"/>
        <v>-74.930381010518403</v>
      </c>
      <c r="J32" s="4">
        <f t="shared" si="35"/>
        <v>-82.082826470613341</v>
      </c>
      <c r="K32" s="4">
        <f t="shared" si="35"/>
        <v>-89.918005360990065</v>
      </c>
    </row>
    <row r="33" spans="2:11" x14ac:dyDescent="0.25">
      <c r="C33" s="11"/>
      <c r="D33" s="3"/>
      <c r="E33" s="3"/>
      <c r="F33" s="3"/>
      <c r="G33" s="4"/>
      <c r="H33" s="4"/>
      <c r="I33" s="4"/>
      <c r="J33" s="4"/>
      <c r="K33" s="4"/>
    </row>
    <row r="34" spans="2:11" x14ac:dyDescent="0.25">
      <c r="C34" s="11" t="s">
        <v>61</v>
      </c>
      <c r="D34" s="3">
        <v>-10</v>
      </c>
      <c r="E34" s="3">
        <v>-12</v>
      </c>
      <c r="F34" s="3">
        <v>-15</v>
      </c>
      <c r="G34" s="4">
        <f>F34*(1+G24)</f>
        <v>-16.431818181818183</v>
      </c>
      <c r="H34" s="4">
        <f>G34*(1+H24)</f>
        <v>-18.000309917355374</v>
      </c>
      <c r="I34" s="4">
        <f>H34*(1+I24)</f>
        <v>-19.718521318557478</v>
      </c>
      <c r="J34" s="4">
        <f>I34*(1+J24)</f>
        <v>-21.600743808056148</v>
      </c>
      <c r="K34" s="4">
        <f>J34*(1+K24)</f>
        <v>-23.662632989734234</v>
      </c>
    </row>
    <row r="35" spans="2:11" x14ac:dyDescent="0.25">
      <c r="C35" s="11" t="s">
        <v>31</v>
      </c>
      <c r="D35" s="3">
        <v>-14</v>
      </c>
      <c r="E35" s="3">
        <v>-16</v>
      </c>
      <c r="F35" s="3">
        <v>-18</v>
      </c>
      <c r="G35" s="4">
        <f>F35*(1+G24)</f>
        <v>-19.718181818181819</v>
      </c>
      <c r="H35" s="4">
        <f t="shared" ref="H35:J35" si="36">G35*(1+H24)</f>
        <v>-21.600371900826445</v>
      </c>
      <c r="I35" s="4">
        <f t="shared" si="36"/>
        <v>-23.66222558226897</v>
      </c>
      <c r="J35" s="4">
        <f t="shared" si="36"/>
        <v>-25.920892569667373</v>
      </c>
      <c r="K35" s="4">
        <f>J35*(1+K24)</f>
        <v>-28.395159587681079</v>
      </c>
    </row>
    <row r="36" spans="2:11" x14ac:dyDescent="0.25">
      <c r="C36" s="11"/>
      <c r="D36" s="3"/>
      <c r="E36" s="3"/>
      <c r="F36" s="3"/>
      <c r="G36" s="4"/>
      <c r="H36" s="4"/>
      <c r="I36" s="4"/>
      <c r="J36" s="4"/>
      <c r="K36" s="4"/>
    </row>
    <row r="37" spans="2:11" x14ac:dyDescent="0.25">
      <c r="C37" s="11" t="s">
        <v>71</v>
      </c>
      <c r="D37" s="3"/>
      <c r="E37" s="3"/>
      <c r="F37" s="3"/>
      <c r="G37" s="22">
        <v>0.04</v>
      </c>
      <c r="H37" s="22">
        <v>0.04</v>
      </c>
      <c r="I37" s="22">
        <v>0.04</v>
      </c>
      <c r="J37" s="22">
        <v>0.04</v>
      </c>
      <c r="K37" s="22">
        <v>0.04</v>
      </c>
    </row>
    <row r="38" spans="2:11" x14ac:dyDescent="0.25">
      <c r="C38" s="11" t="s">
        <v>72</v>
      </c>
      <c r="D38" s="9"/>
      <c r="E38" s="9"/>
      <c r="F38" s="9"/>
      <c r="G38" s="22">
        <v>0.09</v>
      </c>
      <c r="H38" s="22">
        <v>0.09</v>
      </c>
      <c r="I38" s="22">
        <v>0.09</v>
      </c>
      <c r="J38" s="22">
        <v>0.09</v>
      </c>
      <c r="K38" s="22">
        <v>0.09</v>
      </c>
    </row>
    <row r="39" spans="2:11" x14ac:dyDescent="0.25">
      <c r="D39" s="9"/>
      <c r="E39" s="9"/>
      <c r="F39" s="9"/>
      <c r="G39" s="9"/>
      <c r="H39" s="9"/>
      <c r="I39" s="9"/>
      <c r="J39" s="9"/>
      <c r="K39" s="9"/>
    </row>
    <row r="41" spans="2:11" ht="27" x14ac:dyDescent="0.35">
      <c r="B41" s="1" t="s">
        <v>58</v>
      </c>
      <c r="C41" s="25" t="s">
        <v>18</v>
      </c>
    </row>
    <row r="42" spans="2:11" x14ac:dyDescent="0.25">
      <c r="C42" s="1" t="s">
        <v>19</v>
      </c>
      <c r="D42" s="3">
        <v>286</v>
      </c>
      <c r="E42" s="3">
        <v>295</v>
      </c>
      <c r="F42" s="3">
        <v>305</v>
      </c>
      <c r="G42" s="4">
        <f>F42+G117</f>
        <v>347.58192843623851</v>
      </c>
      <c r="H42" s="4">
        <f>G42+H117</f>
        <v>413.63540714065425</v>
      </c>
      <c r="I42" s="4">
        <f>H42+I117</f>
        <v>500.82971739719534</v>
      </c>
      <c r="J42" s="4">
        <f t="shared" ref="J42:K42" si="37">I42+J117</f>
        <v>611.62145810112293</v>
      </c>
      <c r="K42" s="4">
        <f t="shared" si="37"/>
        <v>748.71468896436363</v>
      </c>
    </row>
    <row r="43" spans="2:11" x14ac:dyDescent="0.25">
      <c r="C43" s="1" t="s">
        <v>20</v>
      </c>
      <c r="D43" s="3">
        <v>133</v>
      </c>
      <c r="E43" s="3">
        <v>143</v>
      </c>
      <c r="F43" s="3">
        <v>152</v>
      </c>
      <c r="G43" s="4">
        <f>F43*(1+G24)</f>
        <v>166.5090909090909</v>
      </c>
      <c r="H43" s="4">
        <f t="shared" ref="H43:K43" si="38">G43*(1+H24)</f>
        <v>182.40314049586777</v>
      </c>
      <c r="I43" s="4">
        <f t="shared" si="38"/>
        <v>199.81434936138243</v>
      </c>
      <c r="J43" s="4">
        <f t="shared" si="38"/>
        <v>218.88753725496892</v>
      </c>
      <c r="K43" s="4">
        <f t="shared" si="38"/>
        <v>239.78134762930685</v>
      </c>
    </row>
    <row r="44" spans="2:11" x14ac:dyDescent="0.25">
      <c r="C44" s="1" t="s">
        <v>21</v>
      </c>
      <c r="D44" s="3">
        <v>250</v>
      </c>
      <c r="E44" s="3">
        <v>297</v>
      </c>
      <c r="F44" s="3">
        <v>345</v>
      </c>
      <c r="G44" s="4">
        <f>F44*(1+G29)</f>
        <v>378.48153719008263</v>
      </c>
      <c r="H44" s="4">
        <f t="shared" ref="H44:K44" si="39">G44*(1+H29)</f>
        <v>414.60932028549962</v>
      </c>
      <c r="I44" s="4">
        <f t="shared" si="39"/>
        <v>454.18566449457006</v>
      </c>
      <c r="J44" s="4">
        <f t="shared" si="39"/>
        <v>497.53975065086996</v>
      </c>
      <c r="K44" s="4">
        <f t="shared" si="39"/>
        <v>545.03218139481669</v>
      </c>
    </row>
    <row r="45" spans="2:11" x14ac:dyDescent="0.25">
      <c r="C45" s="1" t="s">
        <v>22</v>
      </c>
      <c r="D45" s="3">
        <v>37</v>
      </c>
      <c r="E45" s="3">
        <v>40</v>
      </c>
      <c r="F45" s="3">
        <v>43</v>
      </c>
      <c r="G45" s="4">
        <f>F45*(1+G24)</f>
        <v>47.104545454545452</v>
      </c>
      <c r="H45" s="4">
        <f t="shared" ref="H45:K45" si="40">G45*(1+H24)</f>
        <v>51.600888429752061</v>
      </c>
      <c r="I45" s="4">
        <f t="shared" si="40"/>
        <v>56.526427779864761</v>
      </c>
      <c r="J45" s="4">
        <f t="shared" si="40"/>
        <v>61.922132249760942</v>
      </c>
      <c r="K45" s="4">
        <f t="shared" si="40"/>
        <v>67.832881237238126</v>
      </c>
    </row>
    <row r="46" spans="2:11" x14ac:dyDescent="0.25">
      <c r="C46" s="14" t="s">
        <v>23</v>
      </c>
      <c r="D46" s="15">
        <f>SUM(D42:D45)</f>
        <v>706</v>
      </c>
      <c r="E46" s="15">
        <f t="shared" ref="E46:K46" si="41">SUM(E42:E45)</f>
        <v>775</v>
      </c>
      <c r="F46" s="15">
        <f t="shared" si="41"/>
        <v>845</v>
      </c>
      <c r="G46" s="15">
        <f>SUM(G42:G45)</f>
        <v>939.67710198995758</v>
      </c>
      <c r="H46" s="15">
        <f t="shared" si="41"/>
        <v>1062.2487563517736</v>
      </c>
      <c r="I46" s="15">
        <f t="shared" si="41"/>
        <v>1211.3561590330125</v>
      </c>
      <c r="J46" s="15">
        <f t="shared" si="41"/>
        <v>1389.9708782567229</v>
      </c>
      <c r="K46" s="15">
        <f t="shared" si="41"/>
        <v>1601.3610992257252</v>
      </c>
    </row>
    <row r="48" spans="2:11" x14ac:dyDescent="0.25">
      <c r="C48" s="1" t="s">
        <v>24</v>
      </c>
      <c r="D48" s="3">
        <v>212</v>
      </c>
      <c r="E48" s="3">
        <v>231</v>
      </c>
      <c r="F48" s="3">
        <v>263</v>
      </c>
      <c r="G48" s="4">
        <f>F48-G32+G31</f>
        <v>287.10000000000002</v>
      </c>
      <c r="H48" s="4">
        <f>G48-H32+H31</f>
        <v>313.50045454545455</v>
      </c>
      <c r="I48" s="4">
        <f>H48-I32+I31</f>
        <v>342.42095247933889</v>
      </c>
      <c r="J48" s="4">
        <f>I48-J32+J31</f>
        <v>374.10204339782121</v>
      </c>
      <c r="K48" s="4">
        <f>J48-K32+K31</f>
        <v>408.80723844943145</v>
      </c>
    </row>
    <row r="49" spans="3:11" x14ac:dyDescent="0.25">
      <c r="C49" s="1" t="s">
        <v>25</v>
      </c>
      <c r="D49" s="3">
        <v>41</v>
      </c>
      <c r="E49" s="3">
        <v>63</v>
      </c>
      <c r="F49" s="3">
        <v>70</v>
      </c>
      <c r="G49" s="4">
        <f>F49-G35+G34</f>
        <v>73.286363636363632</v>
      </c>
      <c r="H49" s="4">
        <f>G49-H35+H34</f>
        <v>76.886425619834711</v>
      </c>
      <c r="I49" s="4">
        <f t="shared" ref="I49:K49" si="42">H49-I35+I34</f>
        <v>80.830129883546206</v>
      </c>
      <c r="J49" s="4">
        <f t="shared" si="42"/>
        <v>85.150278645157428</v>
      </c>
      <c r="K49" s="4">
        <f t="shared" si="42"/>
        <v>89.882805243104272</v>
      </c>
    </row>
    <row r="50" spans="3:11" x14ac:dyDescent="0.25">
      <c r="C50" s="14" t="s">
        <v>26</v>
      </c>
      <c r="D50" s="15">
        <f>SUM(D48:D49)</f>
        <v>253</v>
      </c>
      <c r="E50" s="15">
        <f t="shared" ref="E50:K50" si="43">SUM(E48:E49)</f>
        <v>294</v>
      </c>
      <c r="F50" s="15">
        <f t="shared" si="43"/>
        <v>333</v>
      </c>
      <c r="G50" s="15">
        <f t="shared" si="43"/>
        <v>360.38636363636363</v>
      </c>
      <c r="H50" s="15">
        <f>SUM(H48:H49)</f>
        <v>390.38688016528926</v>
      </c>
      <c r="I50" s="15">
        <f t="shared" si="43"/>
        <v>423.25108236288509</v>
      </c>
      <c r="J50" s="15">
        <f t="shared" si="43"/>
        <v>459.25232204297862</v>
      </c>
      <c r="K50" s="15">
        <f t="shared" si="43"/>
        <v>498.69004369253571</v>
      </c>
    </row>
    <row r="52" spans="3:11" ht="16.5" thickBot="1" x14ac:dyDescent="0.3">
      <c r="C52" s="6" t="s">
        <v>27</v>
      </c>
      <c r="D52" s="16">
        <f>D50+D46</f>
        <v>959</v>
      </c>
      <c r="E52" s="16">
        <f t="shared" ref="E52:K52" si="44">E50+E46</f>
        <v>1069</v>
      </c>
      <c r="F52" s="16">
        <f t="shared" si="44"/>
        <v>1178</v>
      </c>
      <c r="G52" s="16">
        <f t="shared" si="44"/>
        <v>1300.0634656263212</v>
      </c>
      <c r="H52" s="16">
        <f t="shared" si="44"/>
        <v>1452.6356365170629</v>
      </c>
      <c r="I52" s="16">
        <f t="shared" si="44"/>
        <v>1634.6072413958977</v>
      </c>
      <c r="J52" s="16">
        <f t="shared" si="44"/>
        <v>1849.2232002997016</v>
      </c>
      <c r="K52" s="16">
        <f t="shared" si="44"/>
        <v>2100.0511429182607</v>
      </c>
    </row>
    <row r="54" spans="3:11" x14ac:dyDescent="0.25">
      <c r="C54" s="1" t="s">
        <v>32</v>
      </c>
      <c r="D54" s="12">
        <v>45</v>
      </c>
      <c r="E54" s="12">
        <v>47</v>
      </c>
      <c r="F54" s="12">
        <v>49</v>
      </c>
      <c r="G54" s="13">
        <f>F54*(1+G29)</f>
        <v>53.755348760330577</v>
      </c>
      <c r="H54" s="13">
        <f t="shared" ref="H54:K54" si="45">G54*(1+H29)</f>
        <v>58.886541141998492</v>
      </c>
      <c r="I54" s="13">
        <f t="shared" si="45"/>
        <v>64.507529160098343</v>
      </c>
      <c r="J54" s="13">
        <f t="shared" si="45"/>
        <v>70.665066034471366</v>
      </c>
      <c r="K54" s="13">
        <f t="shared" si="45"/>
        <v>77.410367792307269</v>
      </c>
    </row>
    <row r="55" spans="3:11" x14ac:dyDescent="0.25">
      <c r="C55" s="1" t="s">
        <v>33</v>
      </c>
      <c r="D55" s="12">
        <v>32</v>
      </c>
      <c r="E55" s="12">
        <v>37</v>
      </c>
      <c r="F55" s="12">
        <v>47</v>
      </c>
      <c r="G55" s="13">
        <f>F55*(1+G24)</f>
        <v>51.486363636363635</v>
      </c>
      <c r="H55" s="13">
        <f t="shared" ref="H55:K55" si="46">G55*(1+H24)</f>
        <v>56.400971074380166</v>
      </c>
      <c r="I55" s="13">
        <f t="shared" si="46"/>
        <v>61.784700131480093</v>
      </c>
      <c r="J55" s="13">
        <f t="shared" si="46"/>
        <v>67.682330598575916</v>
      </c>
      <c r="K55" s="13">
        <f t="shared" si="46"/>
        <v>74.142916701167252</v>
      </c>
    </row>
    <row r="56" spans="3:11" x14ac:dyDescent="0.25">
      <c r="C56" s="1" t="s">
        <v>34</v>
      </c>
      <c r="D56" s="12">
        <v>110</v>
      </c>
      <c r="E56" s="12">
        <v>130</v>
      </c>
      <c r="F56" s="12">
        <v>143</v>
      </c>
      <c r="G56" s="13">
        <f>F56*(1+G24)</f>
        <v>156.65</v>
      </c>
      <c r="H56" s="13">
        <f t="shared" ref="H56:K56" si="47">G56*(1+H24)</f>
        <v>171.60295454545457</v>
      </c>
      <c r="I56" s="13">
        <f t="shared" si="47"/>
        <v>187.98323657024795</v>
      </c>
      <c r="J56" s="13">
        <f t="shared" si="47"/>
        <v>205.92709097013525</v>
      </c>
      <c r="K56" s="13">
        <f t="shared" si="47"/>
        <v>225.58376783546635</v>
      </c>
    </row>
    <row r="57" spans="3:11" x14ac:dyDescent="0.25">
      <c r="C57" s="14" t="s">
        <v>35</v>
      </c>
      <c r="D57" s="17">
        <f>SUM(D54:D56)</f>
        <v>187</v>
      </c>
      <c r="E57" s="17">
        <f t="shared" ref="E57:K57" si="48">SUM(E54:E56)</f>
        <v>214</v>
      </c>
      <c r="F57" s="17">
        <f t="shared" si="48"/>
        <v>239</v>
      </c>
      <c r="G57" s="17">
        <f t="shared" si="48"/>
        <v>261.89171239669423</v>
      </c>
      <c r="H57" s="17">
        <f t="shared" si="48"/>
        <v>286.89046676183324</v>
      </c>
      <c r="I57" s="17">
        <f t="shared" si="48"/>
        <v>314.27546586182638</v>
      </c>
      <c r="J57" s="17">
        <f t="shared" si="48"/>
        <v>344.27448760318254</v>
      </c>
      <c r="K57" s="17">
        <f t="shared" si="48"/>
        <v>377.13705232894085</v>
      </c>
    </row>
    <row r="59" spans="3:11" x14ac:dyDescent="0.25">
      <c r="C59" s="1" t="s">
        <v>36</v>
      </c>
      <c r="D59" s="3">
        <v>0</v>
      </c>
      <c r="E59" s="3">
        <v>12</v>
      </c>
      <c r="F59" s="3">
        <v>4</v>
      </c>
      <c r="G59" s="4">
        <f>F59+G121</f>
        <v>0</v>
      </c>
      <c r="H59" s="4">
        <f t="shared" ref="H59:K59" si="49">G59+H121</f>
        <v>0</v>
      </c>
      <c r="I59" s="4">
        <f t="shared" si="49"/>
        <v>0</v>
      </c>
      <c r="J59" s="4">
        <f t="shared" si="49"/>
        <v>0</v>
      </c>
      <c r="K59" s="4">
        <f t="shared" si="49"/>
        <v>0</v>
      </c>
    </row>
    <row r="60" spans="3:11" x14ac:dyDescent="0.25">
      <c r="C60" s="1" t="s">
        <v>37</v>
      </c>
      <c r="D60" s="3">
        <v>165</v>
      </c>
      <c r="E60" s="3">
        <v>178</v>
      </c>
      <c r="F60" s="3">
        <v>184</v>
      </c>
      <c r="G60" s="4">
        <f>F60</f>
        <v>184</v>
      </c>
      <c r="H60" s="4">
        <f t="shared" ref="H60:K60" si="50">G60</f>
        <v>184</v>
      </c>
      <c r="I60" s="4">
        <f t="shared" si="50"/>
        <v>184</v>
      </c>
      <c r="J60" s="4">
        <f t="shared" si="50"/>
        <v>184</v>
      </c>
      <c r="K60" s="4">
        <f t="shared" si="50"/>
        <v>184</v>
      </c>
    </row>
    <row r="61" spans="3:11" x14ac:dyDescent="0.25">
      <c r="C61" s="1" t="s">
        <v>38</v>
      </c>
      <c r="D61" s="3">
        <v>54</v>
      </c>
      <c r="E61" s="3">
        <v>56</v>
      </c>
      <c r="F61" s="3">
        <v>58</v>
      </c>
      <c r="G61" s="4">
        <f>F61</f>
        <v>58</v>
      </c>
      <c r="H61" s="4">
        <f t="shared" ref="H61:K61" si="51">G61</f>
        <v>58</v>
      </c>
      <c r="I61" s="4">
        <f t="shared" si="51"/>
        <v>58</v>
      </c>
      <c r="J61" s="4">
        <f t="shared" si="51"/>
        <v>58</v>
      </c>
      <c r="K61" s="4">
        <f t="shared" si="51"/>
        <v>58</v>
      </c>
    </row>
    <row r="62" spans="3:11" ht="16.5" thickBot="1" x14ac:dyDescent="0.3">
      <c r="C62" s="6" t="s">
        <v>39</v>
      </c>
      <c r="D62" s="16">
        <f>D61+D60+D59+D57</f>
        <v>406</v>
      </c>
      <c r="E62" s="16">
        <f t="shared" ref="E62:F62" si="52">E61+E60+E59+E57</f>
        <v>460</v>
      </c>
      <c r="F62" s="16">
        <f t="shared" si="52"/>
        <v>485</v>
      </c>
      <c r="G62" s="16">
        <f>G61+G60+G59+G57</f>
        <v>503.89171239669423</v>
      </c>
      <c r="H62" s="16">
        <f>H61+H60+H59+H57</f>
        <v>528.8904667618333</v>
      </c>
      <c r="I62" s="16">
        <f>I61+I60+I59+I57</f>
        <v>556.27546586182643</v>
      </c>
      <c r="J62" s="16">
        <f>J61+J60+J59+J57</f>
        <v>586.27448760318248</v>
      </c>
      <c r="K62" s="16">
        <f>K61+K60+K59+K57</f>
        <v>619.13705232894085</v>
      </c>
    </row>
    <row r="64" spans="3:11" x14ac:dyDescent="0.25">
      <c r="C64" s="1" t="s">
        <v>40</v>
      </c>
      <c r="D64" s="3">
        <v>30</v>
      </c>
      <c r="E64" s="3">
        <v>35</v>
      </c>
      <c r="F64" s="3">
        <v>36</v>
      </c>
      <c r="G64" s="4">
        <f>G77</f>
        <v>42</v>
      </c>
      <c r="H64" s="4">
        <f t="shared" ref="H64:K64" si="53">H77</f>
        <v>48</v>
      </c>
      <c r="I64" s="4">
        <f t="shared" si="53"/>
        <v>54</v>
      </c>
      <c r="J64" s="4">
        <f t="shared" si="53"/>
        <v>60</v>
      </c>
      <c r="K64" s="4">
        <f t="shared" si="53"/>
        <v>66</v>
      </c>
    </row>
    <row r="65" spans="2:11" x14ac:dyDescent="0.25">
      <c r="C65" s="1" t="s">
        <v>41</v>
      </c>
      <c r="D65" s="3">
        <v>-140</v>
      </c>
      <c r="E65" s="3">
        <v>-180</v>
      </c>
      <c r="F65" s="3">
        <v>-152</v>
      </c>
      <c r="G65" s="4">
        <f>G82</f>
        <v>-171</v>
      </c>
      <c r="H65" s="4">
        <f t="shared" ref="H65:K65" si="54">H82</f>
        <v>-190</v>
      </c>
      <c r="I65" s="4">
        <f t="shared" si="54"/>
        <v>-209</v>
      </c>
      <c r="J65" s="4">
        <f t="shared" si="54"/>
        <v>-228</v>
      </c>
      <c r="K65" s="4">
        <f t="shared" si="54"/>
        <v>-247</v>
      </c>
    </row>
    <row r="66" spans="2:11" x14ac:dyDescent="0.25">
      <c r="C66" s="1" t="s">
        <v>42</v>
      </c>
      <c r="D66" s="3">
        <v>-52</v>
      </c>
      <c r="E66" s="3">
        <v>12</v>
      </c>
      <c r="F66" s="3">
        <v>41</v>
      </c>
      <c r="G66" s="4">
        <f>F66</f>
        <v>41</v>
      </c>
      <c r="H66" s="4">
        <f t="shared" ref="H66:K66" si="55">G66</f>
        <v>41</v>
      </c>
      <c r="I66" s="4">
        <f t="shared" si="55"/>
        <v>41</v>
      </c>
      <c r="J66" s="4">
        <f t="shared" si="55"/>
        <v>41</v>
      </c>
      <c r="K66" s="4">
        <f t="shared" si="55"/>
        <v>41</v>
      </c>
    </row>
    <row r="67" spans="2:11" x14ac:dyDescent="0.25">
      <c r="C67" s="1" t="s">
        <v>43</v>
      </c>
      <c r="D67" s="3">
        <v>715</v>
      </c>
      <c r="E67" s="3">
        <v>742</v>
      </c>
      <c r="F67" s="3">
        <v>768</v>
      </c>
      <c r="G67" s="4">
        <f>G88</f>
        <v>884.1717532296268</v>
      </c>
      <c r="H67" s="4">
        <f t="shared" ref="H67:K67" si="56">H88</f>
        <v>1024.7451697552297</v>
      </c>
      <c r="I67" s="4">
        <f t="shared" si="56"/>
        <v>1192.3317755340713</v>
      </c>
      <c r="J67" s="4">
        <f t="shared" si="56"/>
        <v>1389.9487126965189</v>
      </c>
      <c r="K67" s="4">
        <f t="shared" si="56"/>
        <v>1620.91409058932</v>
      </c>
    </row>
    <row r="68" spans="2:11" ht="16.5" thickBot="1" x14ac:dyDescent="0.3">
      <c r="C68" s="6" t="s">
        <v>44</v>
      </c>
      <c r="D68" s="16">
        <f>SUM(D64:D67)</f>
        <v>553</v>
      </c>
      <c r="E68" s="16">
        <f t="shared" ref="E68:F68" si="57">SUM(E64:E67)</f>
        <v>609</v>
      </c>
      <c r="F68" s="16">
        <f t="shared" si="57"/>
        <v>693</v>
      </c>
      <c r="G68" s="16">
        <f>SUM(G64:G67)</f>
        <v>796.1717532296268</v>
      </c>
      <c r="H68" s="16">
        <f>SUM(H64:H67)</f>
        <v>923.74516975522965</v>
      </c>
      <c r="I68" s="16">
        <f>SUM(I64:I67)</f>
        <v>1078.3317755340713</v>
      </c>
      <c r="J68" s="16">
        <f>SUM(J64:J67)</f>
        <v>1262.9487126965189</v>
      </c>
      <c r="K68" s="16">
        <f>SUM(K64:K67)</f>
        <v>1480.91409058932</v>
      </c>
    </row>
    <row r="70" spans="2:11" x14ac:dyDescent="0.25">
      <c r="C70" s="2" t="s">
        <v>46</v>
      </c>
      <c r="D70" s="5">
        <f>D68+D62</f>
        <v>959</v>
      </c>
      <c r="E70" s="5">
        <f t="shared" ref="E70" si="58">E68+E62</f>
        <v>1069</v>
      </c>
      <c r="F70" s="5">
        <f t="shared" ref="F70:K70" si="59">F68+F62</f>
        <v>1178</v>
      </c>
      <c r="G70" s="5">
        <f t="shared" si="59"/>
        <v>1300.063465626321</v>
      </c>
      <c r="H70" s="5">
        <f t="shared" si="59"/>
        <v>1452.6356365170629</v>
      </c>
      <c r="I70" s="5">
        <f t="shared" si="59"/>
        <v>1634.6072413958977</v>
      </c>
      <c r="J70" s="5">
        <f t="shared" si="59"/>
        <v>1849.2232002997014</v>
      </c>
      <c r="K70" s="5">
        <f t="shared" si="59"/>
        <v>2100.0511429182607</v>
      </c>
    </row>
    <row r="71" spans="2:11" x14ac:dyDescent="0.25">
      <c r="C71" s="1" t="s">
        <v>45</v>
      </c>
      <c r="D71" s="4">
        <f>D52-(D70)</f>
        <v>0</v>
      </c>
      <c r="E71" s="4">
        <f t="shared" ref="E71:K71" si="60">E52-(E70)</f>
        <v>0</v>
      </c>
      <c r="F71" s="4">
        <f t="shared" si="60"/>
        <v>0</v>
      </c>
      <c r="G71" s="4">
        <f>G52-(G70)</f>
        <v>0</v>
      </c>
      <c r="H71" s="4">
        <f>H52-(H70)</f>
        <v>0</v>
      </c>
      <c r="I71" s="4">
        <f t="shared" si="60"/>
        <v>0</v>
      </c>
      <c r="J71" s="4">
        <f t="shared" si="60"/>
        <v>0</v>
      </c>
      <c r="K71" s="4">
        <f t="shared" si="60"/>
        <v>0</v>
      </c>
    </row>
    <row r="73" spans="2:11" x14ac:dyDescent="0.25">
      <c r="B73" s="1" t="s">
        <v>58</v>
      </c>
      <c r="C73" s="2" t="s">
        <v>47</v>
      </c>
    </row>
    <row r="75" spans="2:11" x14ac:dyDescent="0.25">
      <c r="C75" s="1" t="s">
        <v>48</v>
      </c>
      <c r="F75" s="4"/>
      <c r="G75" s="18">
        <f>F64</f>
        <v>36</v>
      </c>
      <c r="H75" s="18">
        <f>G77</f>
        <v>42</v>
      </c>
      <c r="I75" s="18">
        <f>H77</f>
        <v>48</v>
      </c>
      <c r="J75" s="18">
        <f>I77</f>
        <v>54</v>
      </c>
      <c r="K75" s="18">
        <f>J77</f>
        <v>60</v>
      </c>
    </row>
    <row r="76" spans="2:11" x14ac:dyDescent="0.25">
      <c r="C76" s="1" t="s">
        <v>49</v>
      </c>
      <c r="G76" s="20">
        <v>6</v>
      </c>
      <c r="H76" s="20">
        <v>6</v>
      </c>
      <c r="I76" s="20">
        <v>6</v>
      </c>
      <c r="J76" s="20">
        <v>6</v>
      </c>
      <c r="K76" s="20">
        <v>6</v>
      </c>
    </row>
    <row r="77" spans="2:11" x14ac:dyDescent="0.25">
      <c r="C77" s="2" t="s">
        <v>50</v>
      </c>
      <c r="D77" s="2"/>
      <c r="E77" s="2"/>
      <c r="F77" s="2"/>
      <c r="G77" s="19">
        <f>SUM(G75:G76)</f>
        <v>42</v>
      </c>
      <c r="H77" s="19">
        <f t="shared" ref="H77:K77" si="61">SUM(H75:H76)</f>
        <v>48</v>
      </c>
      <c r="I77" s="19">
        <f t="shared" si="61"/>
        <v>54</v>
      </c>
      <c r="J77" s="19">
        <f t="shared" si="61"/>
        <v>60</v>
      </c>
      <c r="K77" s="19">
        <f t="shared" si="61"/>
        <v>66</v>
      </c>
    </row>
    <row r="80" spans="2:11" x14ac:dyDescent="0.25">
      <c r="C80" s="1" t="s">
        <v>51</v>
      </c>
      <c r="G80" s="18">
        <f>F65</f>
        <v>-152</v>
      </c>
      <c r="H80" s="18">
        <f>G82</f>
        <v>-171</v>
      </c>
      <c r="I80" s="18">
        <f>H82</f>
        <v>-190</v>
      </c>
      <c r="J80" s="18">
        <f>I82</f>
        <v>-209</v>
      </c>
      <c r="K80" s="18">
        <f>J82</f>
        <v>-228</v>
      </c>
    </row>
    <row r="81" spans="2:11" x14ac:dyDescent="0.25">
      <c r="C81" s="1" t="s">
        <v>52</v>
      </c>
      <c r="G81" s="20">
        <v>-19</v>
      </c>
      <c r="H81" s="20">
        <v>-19</v>
      </c>
      <c r="I81" s="20">
        <v>-19</v>
      </c>
      <c r="J81" s="20">
        <v>-19</v>
      </c>
      <c r="K81" s="20">
        <v>-19</v>
      </c>
    </row>
    <row r="82" spans="2:11" x14ac:dyDescent="0.25">
      <c r="C82" s="2" t="s">
        <v>53</v>
      </c>
      <c r="G82" s="19">
        <f>SUM(G80:G81)</f>
        <v>-171</v>
      </c>
      <c r="H82" s="19">
        <f t="shared" ref="H82:K82" si="62">SUM(H80:H81)</f>
        <v>-190</v>
      </c>
      <c r="I82" s="19">
        <f t="shared" si="62"/>
        <v>-209</v>
      </c>
      <c r="J82" s="19">
        <f t="shared" si="62"/>
        <v>-228</v>
      </c>
      <c r="K82" s="19">
        <f t="shared" si="62"/>
        <v>-247</v>
      </c>
    </row>
    <row r="85" spans="2:11" x14ac:dyDescent="0.25">
      <c r="C85" s="1" t="s">
        <v>54</v>
      </c>
      <c r="G85" s="18">
        <f>F67</f>
        <v>768</v>
      </c>
      <c r="H85" s="18">
        <f>G88</f>
        <v>884.1717532296268</v>
      </c>
      <c r="I85" s="18">
        <f t="shared" ref="I85:K85" si="63">H88</f>
        <v>1024.7451697552297</v>
      </c>
      <c r="J85" s="18">
        <f t="shared" si="63"/>
        <v>1192.3317755340713</v>
      </c>
      <c r="K85" s="18">
        <f t="shared" si="63"/>
        <v>1389.9487126965189</v>
      </c>
    </row>
    <row r="86" spans="2:11" x14ac:dyDescent="0.25">
      <c r="C86" s="1" t="s">
        <v>12</v>
      </c>
      <c r="G86" s="21">
        <f>G20</f>
        <v>236.17175322962686</v>
      </c>
      <c r="H86" s="21">
        <f>H20</f>
        <v>260.57341652560285</v>
      </c>
      <c r="I86" s="21">
        <f>I20</f>
        <v>287.58660577884154</v>
      </c>
      <c r="J86" s="21">
        <f>J20</f>
        <v>317.61693716244758</v>
      </c>
      <c r="K86" s="21">
        <f>K20</f>
        <v>350.96537789280126</v>
      </c>
    </row>
    <row r="87" spans="2:11" x14ac:dyDescent="0.25">
      <c r="C87" s="1" t="s">
        <v>56</v>
      </c>
      <c r="G87" s="20">
        <v>-120</v>
      </c>
      <c r="H87" s="20">
        <v>-120</v>
      </c>
      <c r="I87" s="20">
        <v>-120</v>
      </c>
      <c r="J87" s="20">
        <v>-120</v>
      </c>
      <c r="K87" s="20">
        <v>-120</v>
      </c>
    </row>
    <row r="88" spans="2:11" x14ac:dyDescent="0.25">
      <c r="C88" s="2" t="s">
        <v>55</v>
      </c>
      <c r="G88" s="19">
        <f>SUM(G85:G87)</f>
        <v>884.1717532296268</v>
      </c>
      <c r="H88" s="19">
        <f t="shared" ref="H88:K88" si="64">SUM(H85:H87)</f>
        <v>1024.7451697552297</v>
      </c>
      <c r="I88" s="19">
        <f t="shared" si="64"/>
        <v>1192.3317755340713</v>
      </c>
      <c r="J88" s="19">
        <f t="shared" si="64"/>
        <v>1389.9487126965189</v>
      </c>
      <c r="K88" s="19">
        <f t="shared" si="64"/>
        <v>1620.91409058932</v>
      </c>
    </row>
    <row r="92" spans="2:11" ht="27" x14ac:dyDescent="0.35">
      <c r="B92" s="1" t="s">
        <v>58</v>
      </c>
      <c r="C92" s="25" t="s">
        <v>57</v>
      </c>
    </row>
    <row r="94" spans="2:11" x14ac:dyDescent="0.25">
      <c r="C94" s="1" t="s">
        <v>12</v>
      </c>
      <c r="G94" s="4">
        <f>G20</f>
        <v>236.17175322962686</v>
      </c>
      <c r="H94" s="4">
        <f t="shared" ref="H94:K94" si="65">H20</f>
        <v>260.57341652560285</v>
      </c>
      <c r="I94" s="4">
        <f t="shared" si="65"/>
        <v>287.58660577884154</v>
      </c>
      <c r="J94" s="4">
        <f t="shared" si="65"/>
        <v>317.61693716244758</v>
      </c>
      <c r="K94" s="4">
        <f t="shared" si="65"/>
        <v>350.96537789280126</v>
      </c>
    </row>
    <row r="95" spans="2:11" x14ac:dyDescent="0.25">
      <c r="C95" s="1" t="s">
        <v>59</v>
      </c>
      <c r="G95" s="4">
        <f>-(G31+G34)</f>
        <v>54.77272727272728</v>
      </c>
      <c r="H95" s="4">
        <f t="shared" ref="H95:K95" si="66">-(H31+H34)</f>
        <v>60.001033057851245</v>
      </c>
      <c r="I95" s="4">
        <f t="shared" si="66"/>
        <v>65.728404395191589</v>
      </c>
      <c r="J95" s="4">
        <f t="shared" si="66"/>
        <v>72.002479360187152</v>
      </c>
      <c r="K95" s="4">
        <f t="shared" si="66"/>
        <v>78.875443299114096</v>
      </c>
    </row>
    <row r="96" spans="2:11" x14ac:dyDescent="0.25">
      <c r="C96" s="1" t="s">
        <v>20</v>
      </c>
      <c r="G96" s="4">
        <f>F43-G43</f>
        <v>-14.509090909090901</v>
      </c>
      <c r="H96" s="4">
        <f t="shared" ref="H96:K96" si="67">G43-H43</f>
        <v>-15.894049586776873</v>
      </c>
      <c r="I96" s="4">
        <f t="shared" si="67"/>
        <v>-17.411208865514652</v>
      </c>
      <c r="J96" s="4">
        <f t="shared" si="67"/>
        <v>-19.073187893586493</v>
      </c>
      <c r="K96" s="4">
        <f t="shared" si="67"/>
        <v>-20.893810374337932</v>
      </c>
    </row>
    <row r="97" spans="3:11" x14ac:dyDescent="0.25">
      <c r="C97" s="1" t="s">
        <v>21</v>
      </c>
      <c r="G97" s="4">
        <f t="shared" ref="G97:K97" si="68">F44-G44</f>
        <v>-33.481537190082634</v>
      </c>
      <c r="H97" s="4">
        <f t="shared" si="68"/>
        <v>-36.127783095416987</v>
      </c>
      <c r="I97" s="4">
        <f t="shared" si="68"/>
        <v>-39.576344209070442</v>
      </c>
      <c r="J97" s="4">
        <f t="shared" si="68"/>
        <v>-43.3540861562999</v>
      </c>
      <c r="K97" s="4">
        <f t="shared" si="68"/>
        <v>-47.492430743946727</v>
      </c>
    </row>
    <row r="98" spans="3:11" x14ac:dyDescent="0.25">
      <c r="C98" s="1" t="s">
        <v>22</v>
      </c>
      <c r="G98" s="4">
        <f t="shared" ref="G98:K98" si="69">F45-G45</f>
        <v>-4.1045454545454518</v>
      </c>
      <c r="H98" s="4">
        <f t="shared" si="69"/>
        <v>-4.4963429752066091</v>
      </c>
      <c r="I98" s="4">
        <f t="shared" si="69"/>
        <v>-4.9255393501127003</v>
      </c>
      <c r="J98" s="4">
        <f t="shared" si="69"/>
        <v>-5.3957044698961809</v>
      </c>
      <c r="K98" s="4">
        <f t="shared" si="69"/>
        <v>-5.9107489874771844</v>
      </c>
    </row>
    <row r="99" spans="3:11" x14ac:dyDescent="0.25">
      <c r="C99" s="1" t="s">
        <v>32</v>
      </c>
      <c r="G99" s="13">
        <f>G54-F54</f>
        <v>4.7553487603305769</v>
      </c>
      <c r="H99" s="13">
        <f t="shared" ref="H99:K99" si="70">H54-G54</f>
        <v>5.1311923816679155</v>
      </c>
      <c r="I99" s="13">
        <f t="shared" si="70"/>
        <v>5.620988018099851</v>
      </c>
      <c r="J99" s="13">
        <f t="shared" si="70"/>
        <v>6.1575368743730223</v>
      </c>
      <c r="K99" s="13">
        <f t="shared" si="70"/>
        <v>6.7453017578359038</v>
      </c>
    </row>
    <row r="100" spans="3:11" x14ac:dyDescent="0.25">
      <c r="C100" s="1" t="s">
        <v>33</v>
      </c>
      <c r="G100" s="13">
        <f t="shared" ref="G100:K100" si="71">G55-F55</f>
        <v>4.4863636363636346</v>
      </c>
      <c r="H100" s="13">
        <f t="shared" si="71"/>
        <v>4.9146074380165317</v>
      </c>
      <c r="I100" s="13">
        <f t="shared" si="71"/>
        <v>5.3837290570999272</v>
      </c>
      <c r="J100" s="13">
        <f t="shared" si="71"/>
        <v>5.8976304670958228</v>
      </c>
      <c r="K100" s="13">
        <f t="shared" si="71"/>
        <v>6.4605861025913356</v>
      </c>
    </row>
    <row r="101" spans="3:11" x14ac:dyDescent="0.25">
      <c r="C101" s="1" t="s">
        <v>34</v>
      </c>
      <c r="G101" s="13">
        <f t="shared" ref="G101:K101" si="72">G56-F56</f>
        <v>13.650000000000006</v>
      </c>
      <c r="H101" s="13">
        <f t="shared" si="72"/>
        <v>14.95295454545456</v>
      </c>
      <c r="I101" s="13">
        <f t="shared" si="72"/>
        <v>16.380282024793388</v>
      </c>
      <c r="J101" s="13">
        <f t="shared" si="72"/>
        <v>17.9438543998873</v>
      </c>
      <c r="K101" s="13">
        <f t="shared" si="72"/>
        <v>19.656676865331093</v>
      </c>
    </row>
    <row r="102" spans="3:11" x14ac:dyDescent="0.25">
      <c r="C102" s="2" t="s">
        <v>60</v>
      </c>
      <c r="D102" s="2"/>
      <c r="E102" s="2"/>
      <c r="F102" s="2"/>
      <c r="G102" s="5">
        <f>SUM(G94:G101)</f>
        <v>261.74101934532939</v>
      </c>
      <c r="H102" s="5">
        <f t="shared" ref="H102:K102" si="73">SUM(H94:H101)</f>
        <v>289.05502829119257</v>
      </c>
      <c r="I102" s="5">
        <f t="shared" si="73"/>
        <v>318.78691684932846</v>
      </c>
      <c r="J102" s="5">
        <f t="shared" si="73"/>
        <v>351.79545974420836</v>
      </c>
      <c r="K102" s="5">
        <f t="shared" si="73"/>
        <v>388.40639581191181</v>
      </c>
    </row>
    <row r="104" spans="3:11" x14ac:dyDescent="0.25">
      <c r="C104" s="1" t="s">
        <v>62</v>
      </c>
      <c r="G104" s="4">
        <f>G32</f>
        <v>-62.440909090909088</v>
      </c>
      <c r="H104" s="4">
        <f t="shared" ref="H104:K104" si="74">H32</f>
        <v>-68.401177685950415</v>
      </c>
      <c r="I104" s="4">
        <f t="shared" si="74"/>
        <v>-74.930381010518403</v>
      </c>
      <c r="J104" s="4">
        <f t="shared" si="74"/>
        <v>-82.082826470613341</v>
      </c>
      <c r="K104" s="4">
        <f t="shared" si="74"/>
        <v>-89.918005360990065</v>
      </c>
    </row>
    <row r="105" spans="3:11" x14ac:dyDescent="0.25">
      <c r="C105" s="1" t="s">
        <v>63</v>
      </c>
      <c r="G105" s="4">
        <f>G35</f>
        <v>-19.718181818181819</v>
      </c>
      <c r="H105" s="4">
        <f t="shared" ref="H105:K105" si="75">H35</f>
        <v>-21.600371900826445</v>
      </c>
      <c r="I105" s="4">
        <f t="shared" si="75"/>
        <v>-23.66222558226897</v>
      </c>
      <c r="J105" s="4">
        <f t="shared" si="75"/>
        <v>-25.920892569667373</v>
      </c>
      <c r="K105" s="4">
        <f t="shared" si="75"/>
        <v>-28.395159587681079</v>
      </c>
    </row>
    <row r="106" spans="3:11" x14ac:dyDescent="0.25">
      <c r="C106" s="2" t="s">
        <v>64</v>
      </c>
      <c r="D106" s="2"/>
      <c r="E106" s="2"/>
      <c r="F106" s="2"/>
      <c r="G106" s="5">
        <f>SUM(G104:G105)</f>
        <v>-82.159090909090907</v>
      </c>
      <c r="H106" s="5">
        <f t="shared" ref="H106:K106" si="76">SUM(H104:H105)</f>
        <v>-90.001549586776861</v>
      </c>
      <c r="I106" s="5">
        <f t="shared" si="76"/>
        <v>-98.592606592787376</v>
      </c>
      <c r="J106" s="5">
        <f t="shared" si="76"/>
        <v>-108.00371904028071</v>
      </c>
      <c r="K106" s="5">
        <f t="shared" si="76"/>
        <v>-118.31316494867114</v>
      </c>
    </row>
    <row r="108" spans="3:11" x14ac:dyDescent="0.25">
      <c r="C108" s="1" t="s">
        <v>37</v>
      </c>
      <c r="G108" s="4">
        <f>G60-F60</f>
        <v>0</v>
      </c>
      <c r="H108" s="4">
        <f t="shared" ref="H108:K108" si="77">H60-G60</f>
        <v>0</v>
      </c>
      <c r="I108" s="4">
        <f t="shared" si="77"/>
        <v>0</v>
      </c>
      <c r="J108" s="4">
        <f t="shared" si="77"/>
        <v>0</v>
      </c>
      <c r="K108" s="4">
        <f t="shared" si="77"/>
        <v>0</v>
      </c>
    </row>
    <row r="109" spans="3:11" x14ac:dyDescent="0.25">
      <c r="C109" s="1" t="s">
        <v>36</v>
      </c>
      <c r="G109" s="4">
        <f>G121</f>
        <v>-4</v>
      </c>
      <c r="H109" s="4">
        <f t="shared" ref="H109:K109" si="78">H121</f>
        <v>0</v>
      </c>
      <c r="I109" s="4">
        <f t="shared" si="78"/>
        <v>0</v>
      </c>
      <c r="J109" s="4">
        <f t="shared" si="78"/>
        <v>0</v>
      </c>
      <c r="K109" s="4">
        <f t="shared" si="78"/>
        <v>0</v>
      </c>
    </row>
    <row r="110" spans="3:11" x14ac:dyDescent="0.25">
      <c r="C110" s="1" t="s">
        <v>38</v>
      </c>
      <c r="G110" s="4">
        <f>G61-F61</f>
        <v>0</v>
      </c>
      <c r="H110" s="4">
        <f t="shared" ref="H110:K110" si="79">H61-G61</f>
        <v>0</v>
      </c>
      <c r="I110" s="4">
        <f t="shared" si="79"/>
        <v>0</v>
      </c>
      <c r="J110" s="4">
        <f t="shared" si="79"/>
        <v>0</v>
      </c>
      <c r="K110" s="4">
        <f t="shared" si="79"/>
        <v>0</v>
      </c>
    </row>
    <row r="111" spans="3:11" x14ac:dyDescent="0.25">
      <c r="C111" s="1" t="s">
        <v>65</v>
      </c>
      <c r="G111" s="18">
        <f>G76</f>
        <v>6</v>
      </c>
      <c r="H111" s="18">
        <f t="shared" ref="H111:K111" si="80">H76</f>
        <v>6</v>
      </c>
      <c r="I111" s="18">
        <f t="shared" si="80"/>
        <v>6</v>
      </c>
      <c r="J111" s="18">
        <f t="shared" si="80"/>
        <v>6</v>
      </c>
      <c r="K111" s="18">
        <f t="shared" si="80"/>
        <v>6</v>
      </c>
    </row>
    <row r="112" spans="3:11" x14ac:dyDescent="0.25">
      <c r="C112" s="1" t="s">
        <v>66</v>
      </c>
      <c r="G112" s="18">
        <f>G81</f>
        <v>-19</v>
      </c>
      <c r="H112" s="18">
        <f t="shared" ref="H112:K112" si="81">H81</f>
        <v>-19</v>
      </c>
      <c r="I112" s="18">
        <f t="shared" si="81"/>
        <v>-19</v>
      </c>
      <c r="J112" s="18">
        <f t="shared" si="81"/>
        <v>-19</v>
      </c>
      <c r="K112" s="18">
        <f t="shared" si="81"/>
        <v>-19</v>
      </c>
    </row>
    <row r="113" spans="3:11" x14ac:dyDescent="0.25">
      <c r="C113" s="1" t="s">
        <v>42</v>
      </c>
      <c r="G113" s="4">
        <f>G66-F66</f>
        <v>0</v>
      </c>
      <c r="H113" s="4">
        <f t="shared" ref="H113:K113" si="82">H66-G66</f>
        <v>0</v>
      </c>
      <c r="I113" s="4">
        <f t="shared" si="82"/>
        <v>0</v>
      </c>
      <c r="J113" s="4">
        <f t="shared" si="82"/>
        <v>0</v>
      </c>
      <c r="K113" s="4">
        <f t="shared" si="82"/>
        <v>0</v>
      </c>
    </row>
    <row r="114" spans="3:11" x14ac:dyDescent="0.25">
      <c r="C114" s="1" t="s">
        <v>56</v>
      </c>
      <c r="G114" s="18">
        <f>G87</f>
        <v>-120</v>
      </c>
      <c r="H114" s="18">
        <f t="shared" ref="H114:K114" si="83">H87</f>
        <v>-120</v>
      </c>
      <c r="I114" s="18">
        <f t="shared" si="83"/>
        <v>-120</v>
      </c>
      <c r="J114" s="18">
        <f t="shared" si="83"/>
        <v>-120</v>
      </c>
      <c r="K114" s="18">
        <f t="shared" si="83"/>
        <v>-120</v>
      </c>
    </row>
    <row r="115" spans="3:11" x14ac:dyDescent="0.25">
      <c r="C115" s="2" t="s">
        <v>67</v>
      </c>
      <c r="D115" s="2"/>
      <c r="E115" s="2"/>
      <c r="F115" s="2"/>
      <c r="G115" s="5">
        <f>SUM(G108:G114)</f>
        <v>-137</v>
      </c>
      <c r="H115" s="5">
        <f>SUM(H108:H114)</f>
        <v>-133</v>
      </c>
      <c r="I115" s="5">
        <f t="shared" ref="I115:K115" si="84">SUM(I108:I114)</f>
        <v>-133</v>
      </c>
      <c r="J115" s="5">
        <f t="shared" si="84"/>
        <v>-133</v>
      </c>
      <c r="K115" s="5">
        <f t="shared" si="84"/>
        <v>-133</v>
      </c>
    </row>
    <row r="117" spans="3:11" x14ac:dyDescent="0.25">
      <c r="C117" s="2" t="s">
        <v>68</v>
      </c>
      <c r="D117" s="2"/>
      <c r="E117" s="2"/>
      <c r="F117" s="2"/>
      <c r="G117" s="5">
        <f>G115+G106+G102</f>
        <v>42.581928436238485</v>
      </c>
      <c r="H117" s="5">
        <f t="shared" ref="H117:K117" si="85">H115+H106+H102</f>
        <v>66.05347870441571</v>
      </c>
      <c r="I117" s="5">
        <f t="shared" si="85"/>
        <v>87.194310256541087</v>
      </c>
      <c r="J117" s="5">
        <f t="shared" si="85"/>
        <v>110.79174070392764</v>
      </c>
      <c r="K117" s="5">
        <f t="shared" si="85"/>
        <v>137.09323086324065</v>
      </c>
    </row>
    <row r="120" spans="3:11" x14ac:dyDescent="0.25">
      <c r="C120" s="1" t="s">
        <v>69</v>
      </c>
      <c r="G120" s="4">
        <f>F42+G102+G106+G108+SUM(G110:G114)</f>
        <v>351.58192843623851</v>
      </c>
      <c r="H120" s="4">
        <f t="shared" ref="H120:K120" si="86">G42+H102+H106+H108+SUM(H110:H114)</f>
        <v>413.63540714065425</v>
      </c>
      <c r="I120" s="4">
        <f t="shared" si="86"/>
        <v>500.82971739719528</v>
      </c>
      <c r="J120" s="4">
        <f t="shared" si="86"/>
        <v>611.62145810112293</v>
      </c>
      <c r="K120" s="4">
        <f t="shared" si="86"/>
        <v>748.71468896436363</v>
      </c>
    </row>
    <row r="121" spans="3:11" x14ac:dyDescent="0.25">
      <c r="C121" s="2" t="s">
        <v>70</v>
      </c>
      <c r="D121" s="2"/>
      <c r="E121" s="2"/>
      <c r="F121" s="2"/>
      <c r="G121" s="5">
        <f>-MIN(G120,F59)</f>
        <v>-4</v>
      </c>
      <c r="H121" s="5">
        <f t="shared" ref="H121:K121" si="87">-MIN(H120,G59)</f>
        <v>0</v>
      </c>
      <c r="I121" s="5">
        <f t="shared" si="87"/>
        <v>0</v>
      </c>
      <c r="J121" s="5">
        <f t="shared" si="87"/>
        <v>0</v>
      </c>
      <c r="K121" s="5">
        <f t="shared" si="87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Tutor</dc:creator>
  <cp:lastModifiedBy>Academic Tutor</cp:lastModifiedBy>
  <dcterms:created xsi:type="dcterms:W3CDTF">2015-06-05T18:17:20Z</dcterms:created>
  <dcterms:modified xsi:type="dcterms:W3CDTF">2025-11-19T14:59:38Z</dcterms:modified>
</cp:coreProperties>
</file>